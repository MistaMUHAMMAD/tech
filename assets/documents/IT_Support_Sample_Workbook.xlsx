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3335b968f445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d0d3ff405afc4343"/>
    <x:sheet xmlns:r="http://schemas.openxmlformats.org/officeDocument/2006/relationships" name="Tickets" sheetId="2" r:id="Rc2b0ead9989e4532"/>
    <x:sheet xmlns:r="http://schemas.openxmlformats.org/officeDocument/2006/relationships" name="Risk sample" sheetId="3" r:id="R08646e3612114679"/>
    <x:sheet xmlns:r="http://schemas.openxmlformats.org/officeDocument/2006/relationships" name="Vendors" sheetId="4" r:id="Re6cd4f32261845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yyyy-mm-dd hh:mm"/>
    <x:numFmt numFmtId="202" formatCode="0.0"/>
    <x:numFmt numFmtId="203" formatCode="&quot;NGN &quot;#,##0"/>
  </x:numFmts>
  <x:fonts count="6">
    <x:font>
      <x:sz val="11"/>
      <x:name val="Carlito"/>
    </x:font>
    <x:font>
      <x:sz val="10"/>
      <x:color rgb="FF203C42"/>
      <x:name val="Arial"/>
    </x:font>
    <x:font>
      <x:b/>
      <x:sz val="15"/>
      <x:color rgb="FF102B35"/>
      <x:name val="Arial"/>
    </x:font>
    <x:font>
      <x:i/>
      <x:sz val="10"/>
      <x:color rgb="FF526761"/>
      <x:name val="Arial"/>
    </x:font>
    <x:font>
      <x:b/>
      <x:sz val="10"/>
      <x:color rgb="FFFFFFFF"/>
      <x:name val="Arial"/>
    </x:font>
    <x:font>
      <x:b/>
      <x:sz val="12"/>
      <x:color rgb="FF102B3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B35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9EBFAC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7D4B0A"/>
      </x:font>
      <x:fill>
        <x:patternFill patternType="solid">
          <x:bgColor rgb="FFFFF1D9"/>
        </x:patternFill>
      </x:fill>
    </x:dxf>
    <x:dxf>
      <x:font>
        <x:color rgb="FF7D4B0A"/>
      </x:font>
      <x:fill>
        <x:patternFill patternType="solid">
          <x:bgColor rgb="FFFFF1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4ecab579564fca" /><Relationship Type="http://schemas.openxmlformats.org/officeDocument/2006/relationships/theme" Target="/xl/theme/theme1.xml" Id="Rfdfa2503a6464699" /><Relationship Type="http://schemas.openxmlformats.org/officeDocument/2006/relationships/sharedStrings" Target="/xl/sharedStrings.xml" Id="R1a9aefa35a89474d" /><Relationship Type="http://schemas.openxmlformats.org/officeDocument/2006/relationships/worksheet" Target="/xl/worksheets/sheet1.xml" Id="Rd0d3ff405afc4343" /><Relationship Type="http://schemas.openxmlformats.org/officeDocument/2006/relationships/worksheet" Target="/xl/worksheets/sheet2.xml" Id="Rc2b0ead9989e4532" /><Relationship Type="http://schemas.openxmlformats.org/officeDocument/2006/relationships/worksheet" Target="/xl/worksheets/sheet3.xml" Id="R08646e3612114679" /><Relationship Type="http://schemas.openxmlformats.org/officeDocument/2006/relationships/worksheet" Target="/xl/worksheets/sheet4.xml" Id="Re6cd4f3226184596" /></Relationships>
</file>

<file path=xl/tables/table1.xml><?xml version="1.0" encoding="utf-8"?>
<x:table xmlns:x="http://schemas.openxmlformats.org/spreadsheetml/2006/main" id="1" name="AssetsTable" displayName="AssetsTable" ref="A7:L57" headerRowCount="1" totalsRowCount="0" totalsRowShown="0">
  <x:autoFilter ref="A7:L57"/>
  <x:tableColumns count="12">
    <x:tableColumn id="1" name="Device ID"/>
    <x:tableColumn id="2" name="Assigned user"/>
    <x:tableColumn id="3" name="Serial number"/>
    <x:tableColumn id="4" name="Department"/>
    <x:tableColumn id="5" name="Status"/>
    <x:tableColumn id="6" name="Purchase date"/>
    <x:tableColumn id="7" name="Warranty until"/>
    <x:tableColumn id="8" name="Maintenance status"/>
    <x:tableColumn id="9" name="Device type"/>
    <x:tableColumn id="10" name="Last checked"/>
    <x:tableColumn id="11" name="Location"/>
    <x:tableColumn id="1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icketsTable" displayName="TicketsTable" ref="A7:J57" headerRowCount="1" totalsRowCount="0" totalsRowShown="0">
  <x:autoFilter ref="A7:J57"/>
  <x:tableColumns count="10">
    <x:tableColumn id="1" name="Ticket number"/>
    <x:tableColumn id="2" name="User"/>
    <x:tableColumn id="3" name="Issue category"/>
    <x:tableColumn id="4" name="Severity"/>
    <x:tableColumn id="5" name="Status"/>
    <x:tableColumn id="6" name="Assigned technician"/>
    <x:tableColumn id="7" name="Opened at"/>
    <x:tableColumn id="8" name="Closed at"/>
    <x:tableColumn id="9" name="Closure hours"/>
    <x:tableColumn id="10" name="Resolution / next a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sampleTable" displayName="RisksampleTable" ref="A7:M57" headerRowCount="1" totalsRowCount="0" totalsRowShown="0">
  <x:autoFilter ref="A7:M57"/>
  <x:tableColumns count="13">
    <x:tableColumn id="1" name="Risk ID"/>
    <x:tableColumn id="2" name="Risk description"/>
    <x:tableColumn id="3" name="Asset / process"/>
    <x:tableColumn id="4" name="Cause"/>
    <x:tableColumn id="5" name="Potential effect"/>
    <x:tableColumn id="6" name="Existing control example"/>
    <x:tableColumn id="7" name="Likelihood (1-5)"/>
    <x:tableColumn id="8" name="Impact (1-5)"/>
    <x:tableColumn id="9" name="Sample score"/>
    <x:tableColumn id="10" name="Action"/>
    <x:tableColumn id="11" name="Owner"/>
    <x:tableColumn id="12" name="Status"/>
    <x:tableColumn id="13" name="Review d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endorsTable" displayName="VendorsTable" ref="A7:L57" headerRowCount="1" totalsRowCount="0" totalsRowShown="0">
  <x:autoFilter ref="A7:L57"/>
  <x:tableColumns count="12">
    <x:tableColumn id="1" name="Item"/>
    <x:tableColumn id="2" name="Vendor reference"/>
    <x:tableColumn id="3" name="Quantity"/>
    <x:tableColumn id="4" name="Unit cost (NGN)"/>
    <x:tableColumn id="5" name="Delivery (NGN)"/>
    <x:tableColumn id="6" name="Tax (NGN)"/>
    <x:tableColumn id="7" name="Total cost (NGN)"/>
    <x:tableColumn id="8" name="Warranty months"/>
    <x:tableColumn id="9" name="Lead time days"/>
    <x:tableColumn id="10" name="Meets specification"/>
    <x:tableColumn id="11" name="Support terms"/>
    <x:tableColumn id="12" name="Decision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2f90c2c4304a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092c10e3fe442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0e7b7031c704d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6ca4337494b451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33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2" t="str">
        <x:v>IT asset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3" t="str">
        <x:v>Portfolio Sample. Fictional devices and users. Enter dates as YYYY-MM-DD.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 ht="22" customHeight="1">
      <x:c r="A5" s="1" t="str">
        <x:v>Demo records</x:v>
      </x:c>
      <x:c r="B5" s="1"/>
      <x:c r="C5" s="12" t="n">
        <x:f>COUNTA(A8:A57)</x:f>
        <x:v>3</x:v>
      </x:c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40" customHeight="1">
      <x:c r="A7" s="9" t="str">
        <x:v>Device ID</x:v>
      </x:c>
      <x:c r="B7" s="9" t="str">
        <x:v>Assigned user</x:v>
      </x:c>
      <x:c r="C7" s="9" t="str">
        <x:v>Serial number</x:v>
      </x:c>
      <x:c r="D7" s="9" t="str">
        <x:v>Department</x:v>
      </x:c>
      <x:c r="E7" s="9" t="str">
        <x:v>Status</x:v>
      </x:c>
      <x:c r="F7" s="9" t="str">
        <x:v>Purchase date</x:v>
      </x:c>
      <x:c r="G7" s="9" t="str">
        <x:v>Warranty until</x:v>
      </x:c>
      <x:c r="H7" s="9" t="str">
        <x:v>Maintenance status</x:v>
      </x:c>
      <x:c r="I7" s="9" t="str">
        <x:v>Device type</x:v>
      </x:c>
      <x:c r="J7" s="9" t="str">
        <x:v>Last checked</x:v>
      </x:c>
      <x:c r="K7" s="9" t="str">
        <x:v>Location</x:v>
      </x:c>
      <x:c r="L7" s="9" t="str">
        <x:v>Notes</x:v>
      </x:c>
    </x:row>
    <x:row r="8" ht="22" customHeight="1">
      <x:c r="A8" s="10" t="str">
        <x:v>DEMO-IT-001</x:v>
      </x:c>
      <x:c r="B8" s="10" t="str">
        <x:v>Demo user 01</x:v>
      </x:c>
      <x:c r="C8" s="10" t="str">
        <x:v>DEMO-SERIAL-001</x:v>
      </x:c>
      <x:c r="D8" s="10" t="str">
        <x:v>Operations</x:v>
      </x:c>
      <x:c r="E8" s="10" t="str">
        <x:v>Assigned</x:v>
      </x:c>
      <x:c r="F8" s="11" t="d">
        <x:v>2026-02-10T12:00:00.000Z</x:v>
      </x:c>
      <x:c r="G8" s="11" t="d">
        <x:v>2027-02-10T12:00:00.000Z</x:v>
      </x:c>
      <x:c r="H8" s="10" t="str">
        <x:v>Up to date</x:v>
      </x:c>
      <x:c r="I8" s="10" t="str">
        <x:v>Laptop</x:v>
      </x:c>
      <x:c r="J8" s="11" t="d">
        <x:v>2026-10-20T12:00:00.000Z</x:v>
      </x:c>
      <x:c r="K8" s="10" t="str">
        <x:v>Demo office</x:v>
      </x:c>
      <x:c r="L8" s="10" t="str">
        <x:v>Fictional sample</x:v>
      </x:c>
    </x:row>
    <x:row r="9" ht="22" customHeight="1">
      <x:c r="A9" s="10" t="str">
        <x:v>DEMO-IT-002</x:v>
      </x:c>
      <x:c r="B9" s="10" t="str">
        <x:v>Demo user 02</x:v>
      </x:c>
      <x:c r="C9" s="10" t="str">
        <x:v>DEMO-SERIAL-002</x:v>
      </x:c>
      <x:c r="D9" s="10" t="str">
        <x:v>Administration</x:v>
      </x:c>
      <x:c r="E9" s="10" t="str">
        <x:v>Assigned</x:v>
      </x:c>
      <x:c r="F9" s="11" t="d">
        <x:v>2025-06-05T12:00:00.000Z</x:v>
      </x:c>
      <x:c r="G9" s="11" t="d">
        <x:v>2026-06-05T12:00:00.000Z</x:v>
      </x:c>
      <x:c r="H9" s="10" t="str">
        <x:v>Check required</x:v>
      </x:c>
      <x:c r="I9" s="10" t="str">
        <x:v>Desktop</x:v>
      </x:c>
      <x:c r="J9" s="11" t="d">
        <x:v>2026-10-18T12:00:00.000Z</x:v>
      </x:c>
      <x:c r="K9" s="10" t="str">
        <x:v>Demo office</x:v>
      </x:c>
      <x:c r="L9" s="10" t="str">
        <x:v>Fictional sample</x:v>
      </x:c>
    </x:row>
    <x:row r="10" ht="22" customHeight="1">
      <x:c r="A10" s="10" t="str">
        <x:v>DEMO-IT-003</x:v>
      </x:c>
      <x:c r="B10" s="10" t="str"/>
      <x:c r="C10" s="10" t="str">
        <x:v>DEMO-SERIAL-003</x:v>
      </x:c>
      <x:c r="D10" s="10" t="str">
        <x:v>IT support</x:v>
      </x:c>
      <x:c r="E10" s="10" t="str">
        <x:v>Spare</x:v>
      </x:c>
      <x:c r="F10" s="11" t="d">
        <x:v>2026-04-15T12:00:00.000Z</x:v>
      </x:c>
      <x:c r="G10" s="11" t="d">
        <x:v>2027-04-15T12:00:00.000Z</x:v>
      </x:c>
      <x:c r="H10" s="10" t="str">
        <x:v>Up to date</x:v>
      </x:c>
      <x:c r="I10" s="10" t="str">
        <x:v>Laptop</x:v>
      </x:c>
      <x:c r="J10" s="11" t="d">
        <x:v>2026-10-22T12:00:00.000Z</x:v>
      </x:c>
      <x:c r="K10" s="10" t="str">
        <x:v>Demo storage</x:v>
      </x:c>
      <x:c r="L10" s="10" t="str">
        <x:v>Unassigned spare device</x:v>
      </x:c>
    </x:row>
    <x:row r="11" ht="22" customHeight="1">
      <x:c r="A11" s="10"/>
      <x:c r="B11" s="10"/>
      <x:c r="C11" s="10"/>
      <x:c r="D11" s="10"/>
      <x:c r="E11" s="10"/>
      <x:c r="F11" s="11"/>
      <x:c r="G11" s="11"/>
      <x:c r="H11" s="10"/>
      <x:c r="I11" s="10"/>
      <x:c r="J11" s="11"/>
      <x:c r="K11" s="10"/>
      <x:c r="L11" s="10"/>
    </x:row>
    <x:row r="12" ht="22" customHeight="1">
      <x:c r="A12" s="10"/>
      <x:c r="B12" s="10"/>
      <x:c r="C12" s="10"/>
      <x:c r="D12" s="10"/>
      <x:c r="E12" s="10"/>
      <x:c r="F12" s="11"/>
      <x:c r="G12" s="11"/>
      <x:c r="H12" s="10"/>
      <x:c r="I12" s="10"/>
      <x:c r="J12" s="11"/>
      <x:c r="K12" s="10"/>
      <x:c r="L12" s="10"/>
    </x:row>
    <x:row r="13" ht="22" customHeight="1">
      <x:c r="A13" s="10"/>
      <x:c r="B13" s="10"/>
      <x:c r="C13" s="10"/>
      <x:c r="D13" s="10"/>
      <x:c r="E13" s="10"/>
      <x:c r="F13" s="11"/>
      <x:c r="G13" s="11"/>
      <x:c r="H13" s="10"/>
      <x:c r="I13" s="10"/>
      <x:c r="J13" s="11"/>
      <x:c r="K13" s="10"/>
      <x:c r="L13" s="10"/>
    </x:row>
    <x:row r="14" ht="22" customHeight="1">
      <x:c r="A14" s="10"/>
      <x:c r="B14" s="10"/>
      <x:c r="C14" s="10"/>
      <x:c r="D14" s="10"/>
      <x:c r="E14" s="10"/>
      <x:c r="F14" s="11"/>
      <x:c r="G14" s="11"/>
      <x:c r="H14" s="10"/>
      <x:c r="I14" s="10"/>
      <x:c r="J14" s="11"/>
      <x:c r="K14" s="10"/>
      <x:c r="L14" s="10"/>
    </x:row>
    <x:row r="15" ht="22" customHeight="1">
      <x:c r="A15" s="10"/>
      <x:c r="B15" s="10"/>
      <x:c r="C15" s="10"/>
      <x:c r="D15" s="10"/>
      <x:c r="E15" s="10"/>
      <x:c r="F15" s="11"/>
      <x:c r="G15" s="11"/>
      <x:c r="H15" s="10"/>
      <x:c r="I15" s="10"/>
      <x:c r="J15" s="11"/>
      <x:c r="K15" s="10"/>
      <x:c r="L15" s="10"/>
    </x:row>
    <x:row r="16" ht="22" customHeight="1">
      <x:c r="A16" s="10"/>
      <x:c r="B16" s="10"/>
      <x:c r="C16" s="10"/>
      <x:c r="D16" s="10"/>
      <x:c r="E16" s="10"/>
      <x:c r="F16" s="11"/>
      <x:c r="G16" s="11"/>
      <x:c r="H16" s="10"/>
      <x:c r="I16" s="10"/>
      <x:c r="J16" s="11"/>
      <x:c r="K16" s="10"/>
      <x:c r="L16" s="10"/>
    </x:row>
    <x:row r="17" ht="22" customHeight="1">
      <x:c r="A17" s="10"/>
      <x:c r="B17" s="10"/>
      <x:c r="C17" s="10"/>
      <x:c r="D17" s="10"/>
      <x:c r="E17" s="10"/>
      <x:c r="F17" s="11"/>
      <x:c r="G17" s="11"/>
      <x:c r="H17" s="10"/>
      <x:c r="I17" s="10"/>
      <x:c r="J17" s="11"/>
      <x:c r="K17" s="10"/>
      <x:c r="L17" s="10"/>
    </x:row>
    <x:row r="18" ht="22" customHeight="1">
      <x:c r="A18" s="10"/>
      <x:c r="B18" s="10"/>
      <x:c r="C18" s="10"/>
      <x:c r="D18" s="10"/>
      <x:c r="E18" s="10"/>
      <x:c r="F18" s="11"/>
      <x:c r="G18" s="11"/>
      <x:c r="H18" s="10"/>
      <x:c r="I18" s="10"/>
      <x:c r="J18" s="11"/>
      <x:c r="K18" s="10"/>
      <x:c r="L18" s="10"/>
    </x:row>
    <x:row r="19" ht="22" customHeight="1">
      <x:c r="A19" s="10"/>
      <x:c r="B19" s="10"/>
      <x:c r="C19" s="10"/>
      <x:c r="D19" s="10"/>
      <x:c r="E19" s="10"/>
      <x:c r="F19" s="11"/>
      <x:c r="G19" s="11"/>
      <x:c r="H19" s="10"/>
      <x:c r="I19" s="10"/>
      <x:c r="J19" s="11"/>
      <x:c r="K19" s="10"/>
      <x:c r="L19" s="10"/>
    </x:row>
    <x:row r="20" ht="22" customHeight="1">
      <x:c r="A20" s="10"/>
      <x:c r="B20" s="10"/>
      <x:c r="C20" s="10"/>
      <x:c r="D20" s="10"/>
      <x:c r="E20" s="10"/>
      <x:c r="F20" s="11"/>
      <x:c r="G20" s="11"/>
      <x:c r="H20" s="10"/>
      <x:c r="I20" s="10"/>
      <x:c r="J20" s="11"/>
      <x:c r="K20" s="10"/>
      <x:c r="L20" s="10"/>
    </x:row>
    <x:row r="21" ht="22" customHeight="1">
      <x:c r="A21" s="10"/>
      <x:c r="B21" s="10"/>
      <x:c r="C21" s="10"/>
      <x:c r="D21" s="10"/>
      <x:c r="E21" s="10"/>
      <x:c r="F21" s="11"/>
      <x:c r="G21" s="11"/>
      <x:c r="H21" s="10"/>
      <x:c r="I21" s="10"/>
      <x:c r="J21" s="11"/>
      <x:c r="K21" s="10"/>
      <x:c r="L21" s="10"/>
    </x:row>
    <x:row r="22" ht="22" customHeight="1">
      <x:c r="A22" s="10"/>
      <x:c r="B22" s="10"/>
      <x:c r="C22" s="10"/>
      <x:c r="D22" s="10"/>
      <x:c r="E22" s="10"/>
      <x:c r="F22" s="11"/>
      <x:c r="G22" s="11"/>
      <x:c r="H22" s="10"/>
      <x:c r="I22" s="10"/>
      <x:c r="J22" s="11"/>
      <x:c r="K22" s="10"/>
      <x:c r="L22" s="10"/>
    </x:row>
    <x:row r="23" ht="22" customHeight="1">
      <x:c r="A23" s="10"/>
      <x:c r="B23" s="10"/>
      <x:c r="C23" s="10"/>
      <x:c r="D23" s="10"/>
      <x:c r="E23" s="10"/>
      <x:c r="F23" s="11"/>
      <x:c r="G23" s="11"/>
      <x:c r="H23" s="10"/>
      <x:c r="I23" s="10"/>
      <x:c r="J23" s="11"/>
      <x:c r="K23" s="10"/>
      <x:c r="L23" s="10"/>
    </x:row>
    <x:row r="24" ht="22" customHeight="1">
      <x:c r="A24" s="10"/>
      <x:c r="B24" s="10"/>
      <x:c r="C24" s="10"/>
      <x:c r="D24" s="10"/>
      <x:c r="E24" s="10"/>
      <x:c r="F24" s="11"/>
      <x:c r="G24" s="11"/>
      <x:c r="H24" s="10"/>
      <x:c r="I24" s="10"/>
      <x:c r="J24" s="11"/>
      <x:c r="K24" s="10"/>
      <x:c r="L24" s="10"/>
    </x:row>
    <x:row r="25" ht="22" customHeight="1">
      <x:c r="A25" s="10"/>
      <x:c r="B25" s="10"/>
      <x:c r="C25" s="10"/>
      <x:c r="D25" s="10"/>
      <x:c r="E25" s="10"/>
      <x:c r="F25" s="11"/>
      <x:c r="G25" s="11"/>
      <x:c r="H25" s="10"/>
      <x:c r="I25" s="10"/>
      <x:c r="J25" s="11"/>
      <x:c r="K25" s="10"/>
      <x:c r="L25" s="10"/>
    </x:row>
    <x:row r="26" ht="22" customHeight="1">
      <x:c r="A26" s="10"/>
      <x:c r="B26" s="10"/>
      <x:c r="C26" s="10"/>
      <x:c r="D26" s="10"/>
      <x:c r="E26" s="10"/>
      <x:c r="F26" s="11"/>
      <x:c r="G26" s="11"/>
      <x:c r="H26" s="10"/>
      <x:c r="I26" s="10"/>
      <x:c r="J26" s="11"/>
      <x:c r="K26" s="10"/>
      <x:c r="L26" s="10"/>
    </x:row>
    <x:row r="27" ht="22" customHeight="1">
      <x:c r="A27" s="10"/>
      <x:c r="B27" s="10"/>
      <x:c r="C27" s="10"/>
      <x:c r="D27" s="10"/>
      <x:c r="E27" s="10"/>
      <x:c r="F27" s="11"/>
      <x:c r="G27" s="11"/>
      <x:c r="H27" s="10"/>
      <x:c r="I27" s="10"/>
      <x:c r="J27" s="11"/>
      <x:c r="K27" s="10"/>
      <x:c r="L27" s="10"/>
    </x:row>
    <x:row r="28" ht="22" customHeight="1">
      <x:c r="A28" s="10"/>
      <x:c r="B28" s="10"/>
      <x:c r="C28" s="10"/>
      <x:c r="D28" s="10"/>
      <x:c r="E28" s="10"/>
      <x:c r="F28" s="11"/>
      <x:c r="G28" s="11"/>
      <x:c r="H28" s="10"/>
      <x:c r="I28" s="10"/>
      <x:c r="J28" s="11"/>
      <x:c r="K28" s="10"/>
      <x:c r="L28" s="10"/>
    </x:row>
    <x:row r="29" ht="22" customHeight="1">
      <x:c r="A29" s="10"/>
      <x:c r="B29" s="10"/>
      <x:c r="C29" s="10"/>
      <x:c r="D29" s="10"/>
      <x:c r="E29" s="10"/>
      <x:c r="F29" s="11"/>
      <x:c r="G29" s="11"/>
      <x:c r="H29" s="10"/>
      <x:c r="I29" s="10"/>
      <x:c r="J29" s="11"/>
      <x:c r="K29" s="10"/>
      <x:c r="L29" s="10"/>
    </x:row>
    <x:row r="30" ht="22" customHeight="1">
      <x:c r="A30" s="10"/>
      <x:c r="B30" s="10"/>
      <x:c r="C30" s="10"/>
      <x:c r="D30" s="10"/>
      <x:c r="E30" s="10"/>
      <x:c r="F30" s="11"/>
      <x:c r="G30" s="11"/>
      <x:c r="H30" s="10"/>
      <x:c r="I30" s="10"/>
      <x:c r="J30" s="11"/>
      <x:c r="K30" s="10"/>
      <x:c r="L30" s="10"/>
    </x:row>
    <x:row r="31" ht="22" customHeight="1">
      <x:c r="A31" s="10"/>
      <x:c r="B31" s="10"/>
      <x:c r="C31" s="10"/>
      <x:c r="D31" s="10"/>
      <x:c r="E31" s="10"/>
      <x:c r="F31" s="11"/>
      <x:c r="G31" s="11"/>
      <x:c r="H31" s="10"/>
      <x:c r="I31" s="10"/>
      <x:c r="J31" s="11"/>
      <x:c r="K31" s="10"/>
      <x:c r="L31" s="10"/>
    </x:row>
    <x:row r="32" ht="22" customHeight="1">
      <x:c r="A32" s="10"/>
      <x:c r="B32" s="10"/>
      <x:c r="C32" s="10"/>
      <x:c r="D32" s="10"/>
      <x:c r="E32" s="10"/>
      <x:c r="F32" s="11"/>
      <x:c r="G32" s="11"/>
      <x:c r="H32" s="10"/>
      <x:c r="I32" s="10"/>
      <x:c r="J32" s="11"/>
      <x:c r="K32" s="10"/>
      <x:c r="L32" s="10"/>
    </x:row>
    <x:row r="33" ht="22" customHeight="1">
      <x:c r="A33" s="10"/>
      <x:c r="B33" s="10"/>
      <x:c r="C33" s="10"/>
      <x:c r="D33" s="10"/>
      <x:c r="E33" s="10"/>
      <x:c r="F33" s="11"/>
      <x:c r="G33" s="11"/>
      <x:c r="H33" s="10"/>
      <x:c r="I33" s="10"/>
      <x:c r="J33" s="11"/>
      <x:c r="K33" s="10"/>
      <x:c r="L33" s="10"/>
    </x:row>
    <x:row r="34" ht="22" customHeight="1">
      <x:c r="A34" s="10"/>
      <x:c r="B34" s="10"/>
      <x:c r="C34" s="10"/>
      <x:c r="D34" s="10"/>
      <x:c r="E34" s="10"/>
      <x:c r="F34" s="11"/>
      <x:c r="G34" s="11"/>
      <x:c r="H34" s="10"/>
      <x:c r="I34" s="10"/>
      <x:c r="J34" s="11"/>
      <x:c r="K34" s="10"/>
      <x:c r="L34" s="10"/>
    </x:row>
    <x:row r="35" ht="22" customHeight="1">
      <x:c r="A35" s="10"/>
      <x:c r="B35" s="10"/>
      <x:c r="C35" s="10"/>
      <x:c r="D35" s="10"/>
      <x:c r="E35" s="10"/>
      <x:c r="F35" s="11"/>
      <x:c r="G35" s="11"/>
      <x:c r="H35" s="10"/>
      <x:c r="I35" s="10"/>
      <x:c r="J35" s="11"/>
      <x:c r="K35" s="10"/>
      <x:c r="L35" s="10"/>
    </x:row>
    <x:row r="36" ht="22" customHeight="1">
      <x:c r="A36" s="10"/>
      <x:c r="B36" s="10"/>
      <x:c r="C36" s="10"/>
      <x:c r="D36" s="10"/>
      <x:c r="E36" s="10"/>
      <x:c r="F36" s="11"/>
      <x:c r="G36" s="11"/>
      <x:c r="H36" s="10"/>
      <x:c r="I36" s="10"/>
      <x:c r="J36" s="11"/>
      <x:c r="K36" s="10"/>
      <x:c r="L36" s="10"/>
    </x:row>
    <x:row r="37" ht="22" customHeight="1">
      <x:c r="A37" s="10"/>
      <x:c r="B37" s="10"/>
      <x:c r="C37" s="10"/>
      <x:c r="D37" s="10"/>
      <x:c r="E37" s="10"/>
      <x:c r="F37" s="11"/>
      <x:c r="G37" s="11"/>
      <x:c r="H37" s="10"/>
      <x:c r="I37" s="10"/>
      <x:c r="J37" s="11"/>
      <x:c r="K37" s="10"/>
      <x:c r="L37" s="10"/>
    </x:row>
    <x:row r="38" ht="22" customHeight="1">
      <x:c r="A38" s="10"/>
      <x:c r="B38" s="10"/>
      <x:c r="C38" s="10"/>
      <x:c r="D38" s="10"/>
      <x:c r="E38" s="10"/>
      <x:c r="F38" s="11"/>
      <x:c r="G38" s="11"/>
      <x:c r="H38" s="10"/>
      <x:c r="I38" s="10"/>
      <x:c r="J38" s="11"/>
      <x:c r="K38" s="10"/>
      <x:c r="L38" s="10"/>
    </x:row>
    <x:row r="39" ht="22" customHeight="1">
      <x:c r="A39" s="10"/>
      <x:c r="B39" s="10"/>
      <x:c r="C39" s="10"/>
      <x:c r="D39" s="10"/>
      <x:c r="E39" s="10"/>
      <x:c r="F39" s="11"/>
      <x:c r="G39" s="11"/>
      <x:c r="H39" s="10"/>
      <x:c r="I39" s="10"/>
      <x:c r="J39" s="11"/>
      <x:c r="K39" s="10"/>
      <x:c r="L39" s="10"/>
    </x:row>
    <x:row r="40" ht="22" customHeight="1">
      <x:c r="A40" s="10"/>
      <x:c r="B40" s="10"/>
      <x:c r="C40" s="10"/>
      <x:c r="D40" s="10"/>
      <x:c r="E40" s="10"/>
      <x:c r="F40" s="11"/>
      <x:c r="G40" s="11"/>
      <x:c r="H40" s="10"/>
      <x:c r="I40" s="10"/>
      <x:c r="J40" s="11"/>
      <x:c r="K40" s="10"/>
      <x:c r="L40" s="10"/>
    </x:row>
    <x:row r="41" ht="22" customHeight="1">
      <x:c r="A41" s="10"/>
      <x:c r="B41" s="10"/>
      <x:c r="C41" s="10"/>
      <x:c r="D41" s="10"/>
      <x:c r="E41" s="10"/>
      <x:c r="F41" s="11"/>
      <x:c r="G41" s="11"/>
      <x:c r="H41" s="10"/>
      <x:c r="I41" s="10"/>
      <x:c r="J41" s="11"/>
      <x:c r="K41" s="10"/>
      <x:c r="L41" s="10"/>
    </x:row>
    <x:row r="42" ht="22" customHeight="1">
      <x:c r="A42" s="10"/>
      <x:c r="B42" s="10"/>
      <x:c r="C42" s="10"/>
      <x:c r="D42" s="10"/>
      <x:c r="E42" s="10"/>
      <x:c r="F42" s="11"/>
      <x:c r="G42" s="11"/>
      <x:c r="H42" s="10"/>
      <x:c r="I42" s="10"/>
      <x:c r="J42" s="11"/>
      <x:c r="K42" s="10"/>
      <x:c r="L42" s="10"/>
    </x:row>
    <x:row r="43" ht="22" customHeight="1">
      <x:c r="A43" s="10"/>
      <x:c r="B43" s="10"/>
      <x:c r="C43" s="10"/>
      <x:c r="D43" s="10"/>
      <x:c r="E43" s="10"/>
      <x:c r="F43" s="11"/>
      <x:c r="G43" s="11"/>
      <x:c r="H43" s="10"/>
      <x:c r="I43" s="10"/>
      <x:c r="J43" s="11"/>
      <x:c r="K43" s="10"/>
      <x:c r="L43" s="10"/>
    </x:row>
    <x:row r="44" ht="22" customHeight="1">
      <x:c r="A44" s="10"/>
      <x:c r="B44" s="10"/>
      <x:c r="C44" s="10"/>
      <x:c r="D44" s="10"/>
      <x:c r="E44" s="10"/>
      <x:c r="F44" s="11"/>
      <x:c r="G44" s="11"/>
      <x:c r="H44" s="10"/>
      <x:c r="I44" s="10"/>
      <x:c r="J44" s="11"/>
      <x:c r="K44" s="10"/>
      <x:c r="L44" s="10"/>
    </x:row>
    <x:row r="45" ht="22" customHeight="1">
      <x:c r="A45" s="10"/>
      <x:c r="B45" s="10"/>
      <x:c r="C45" s="10"/>
      <x:c r="D45" s="10"/>
      <x:c r="E45" s="10"/>
      <x:c r="F45" s="11"/>
      <x:c r="G45" s="11"/>
      <x:c r="H45" s="10"/>
      <x:c r="I45" s="10"/>
      <x:c r="J45" s="11"/>
      <x:c r="K45" s="10"/>
      <x:c r="L45" s="10"/>
    </x:row>
    <x:row r="46" ht="22" customHeight="1">
      <x:c r="A46" s="10"/>
      <x:c r="B46" s="10"/>
      <x:c r="C46" s="10"/>
      <x:c r="D46" s="10"/>
      <x:c r="E46" s="10"/>
      <x:c r="F46" s="11"/>
      <x:c r="G46" s="11"/>
      <x:c r="H46" s="10"/>
      <x:c r="I46" s="10"/>
      <x:c r="J46" s="11"/>
      <x:c r="K46" s="10"/>
      <x:c r="L46" s="10"/>
    </x:row>
    <x:row r="47" ht="22" customHeight="1">
      <x:c r="A47" s="10"/>
      <x:c r="B47" s="10"/>
      <x:c r="C47" s="10"/>
      <x:c r="D47" s="10"/>
      <x:c r="E47" s="10"/>
      <x:c r="F47" s="11"/>
      <x:c r="G47" s="11"/>
      <x:c r="H47" s="10"/>
      <x:c r="I47" s="10"/>
      <x:c r="J47" s="11"/>
      <x:c r="K47" s="10"/>
      <x:c r="L47" s="10"/>
    </x:row>
    <x:row r="48" ht="22" customHeight="1">
      <x:c r="A48" s="10"/>
      <x:c r="B48" s="10"/>
      <x:c r="C48" s="10"/>
      <x:c r="D48" s="10"/>
      <x:c r="E48" s="10"/>
      <x:c r="F48" s="11"/>
      <x:c r="G48" s="11"/>
      <x:c r="H48" s="10"/>
      <x:c r="I48" s="10"/>
      <x:c r="J48" s="11"/>
      <x:c r="K48" s="10"/>
      <x:c r="L48" s="10"/>
    </x:row>
    <x:row r="49" ht="22" customHeight="1">
      <x:c r="A49" s="10"/>
      <x:c r="B49" s="10"/>
      <x:c r="C49" s="10"/>
      <x:c r="D49" s="10"/>
      <x:c r="E49" s="10"/>
      <x:c r="F49" s="11"/>
      <x:c r="G49" s="11"/>
      <x:c r="H49" s="10"/>
      <x:c r="I49" s="10"/>
      <x:c r="J49" s="11"/>
      <x:c r="K49" s="10"/>
      <x:c r="L49" s="10"/>
    </x:row>
    <x:row r="50" ht="22" customHeight="1">
      <x:c r="A50" s="10"/>
      <x:c r="B50" s="10"/>
      <x:c r="C50" s="10"/>
      <x:c r="D50" s="10"/>
      <x:c r="E50" s="10"/>
      <x:c r="F50" s="11"/>
      <x:c r="G50" s="11"/>
      <x:c r="H50" s="10"/>
      <x:c r="I50" s="10"/>
      <x:c r="J50" s="11"/>
      <x:c r="K50" s="10"/>
      <x:c r="L50" s="10"/>
    </x:row>
    <x:row r="51" ht="22" customHeight="1">
      <x:c r="A51" s="10"/>
      <x:c r="B51" s="10"/>
      <x:c r="C51" s="10"/>
      <x:c r="D51" s="10"/>
      <x:c r="E51" s="10"/>
      <x:c r="F51" s="11"/>
      <x:c r="G51" s="11"/>
      <x:c r="H51" s="10"/>
      <x:c r="I51" s="10"/>
      <x:c r="J51" s="11"/>
      <x:c r="K51" s="10"/>
      <x:c r="L51" s="10"/>
    </x:row>
    <x:row r="52" ht="22" customHeight="1">
      <x:c r="A52" s="10"/>
      <x:c r="B52" s="10"/>
      <x:c r="C52" s="10"/>
      <x:c r="D52" s="10"/>
      <x:c r="E52" s="10"/>
      <x:c r="F52" s="11"/>
      <x:c r="G52" s="11"/>
      <x:c r="H52" s="10"/>
      <x:c r="I52" s="10"/>
      <x:c r="J52" s="11"/>
      <x:c r="K52" s="10"/>
      <x:c r="L52" s="10"/>
    </x:row>
    <x:row r="53" ht="22" customHeight="1">
      <x:c r="A53" s="10"/>
      <x:c r="B53" s="10"/>
      <x:c r="C53" s="10"/>
      <x:c r="D53" s="10"/>
      <x:c r="E53" s="10"/>
      <x:c r="F53" s="11"/>
      <x:c r="G53" s="11"/>
      <x:c r="H53" s="10"/>
      <x:c r="I53" s="10"/>
      <x:c r="J53" s="11"/>
      <x:c r="K53" s="10"/>
      <x:c r="L53" s="10"/>
    </x:row>
    <x:row r="54" ht="22" customHeight="1">
      <x:c r="A54" s="10"/>
      <x:c r="B54" s="10"/>
      <x:c r="C54" s="10"/>
      <x:c r="D54" s="10"/>
      <x:c r="E54" s="10"/>
      <x:c r="F54" s="11"/>
      <x:c r="G54" s="11"/>
      <x:c r="H54" s="10"/>
      <x:c r="I54" s="10"/>
      <x:c r="J54" s="11"/>
      <x:c r="K54" s="10"/>
      <x:c r="L54" s="10"/>
    </x:row>
    <x:row r="55" ht="22" customHeight="1">
      <x:c r="A55" s="10"/>
      <x:c r="B55" s="10"/>
      <x:c r="C55" s="10"/>
      <x:c r="D55" s="10"/>
      <x:c r="E55" s="10"/>
      <x:c r="F55" s="11"/>
      <x:c r="G55" s="11"/>
      <x:c r="H55" s="10"/>
      <x:c r="I55" s="10"/>
      <x:c r="J55" s="11"/>
      <x:c r="K55" s="10"/>
      <x:c r="L55" s="10"/>
    </x:row>
    <x:row r="56" ht="22" customHeight="1">
      <x:c r="A56" s="10"/>
      <x:c r="B56" s="10"/>
      <x:c r="C56" s="10"/>
      <x:c r="D56" s="10"/>
      <x:c r="E56" s="10"/>
      <x:c r="F56" s="11"/>
      <x:c r="G56" s="11"/>
      <x:c r="H56" s="10"/>
      <x:c r="I56" s="10"/>
      <x:c r="J56" s="11"/>
      <x:c r="K56" s="10"/>
      <x:c r="L56" s="10"/>
    </x:row>
    <x:row r="57" ht="22" customHeight="1">
      <x:c r="A57" s="10"/>
      <x:c r="B57" s="10"/>
      <x:c r="C57" s="10"/>
      <x:c r="D57" s="10"/>
      <x:c r="E57" s="10"/>
      <x:c r="F57" s="11"/>
      <x:c r="G57" s="11"/>
      <x:c r="H57" s="10"/>
      <x:c r="I57" s="10"/>
      <x:c r="J57" s="11"/>
      <x:c r="K57" s="10"/>
      <x:c r="L57" s="10"/>
    </x:row>
  </x:sheetData>
  <x:conditionalFormatting sqref="H8:H57">
    <x:cfRule type="containsText" dxfId="0" priority="1" operator="containsText" text="Check required"/>
  </x:conditionalFormatting>
  <x:dataValidations count="2">
    <x:dataValidation type="list" sqref="E8:E57">
      <x:formula1>"Assigned,Spare,Under repair,Retired"</x:formula1>
    </x:dataValidation>
    <x:dataValidation type="list" sqref="H8:H57">
      <x:formula1>"Up to date,Check required,Scheduled,Not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2f90c2c4304ac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5" hidden="0" customWidth="1"/>
    <x:col min="8" max="8" width="25" hidden="0" customWidth="1"/>
    <x:col min="9" max="9" width="21" hidden="0" customWidth="1"/>
    <x:col min="10" max="10" width="65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2" customHeight="1">
      <x:c r="A2" s="2" t="str">
        <x:v>Helpdesk ticket tracker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3" t="str">
        <x:v>Portfolio Sample. Fictional tickets. Elapsed time is calendar hours, not an SLA metric.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2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 ht="22" customHeight="1">
      <x:c r="A5" s="1" t="str">
        <x:v>Demo records</x:v>
      </x:c>
      <x:c r="B5" s="1"/>
      <x:c r="C5" s="12" t="n">
        <x:f>COUNTA(A8:A57)</x:f>
        <x:v>3</x:v>
      </x:c>
      <x:c r="D5" s="1"/>
      <x:c r="E5" s="1"/>
      <x:c r="F5" s="1"/>
      <x:c r="G5" s="1"/>
      <x:c r="H5" s="1"/>
      <x:c r="I5" s="1"/>
      <x:c r="J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 ht="40" customHeight="1">
      <x:c r="A7" s="9" t="str">
        <x:v>Ticket number</x:v>
      </x:c>
      <x:c r="B7" s="9" t="str">
        <x:v>User</x:v>
      </x:c>
      <x:c r="C7" s="9" t="str">
        <x:v>Issue category</x:v>
      </x:c>
      <x:c r="D7" s="9" t="str">
        <x:v>Severity</x:v>
      </x:c>
      <x:c r="E7" s="9" t="str">
        <x:v>Status</x:v>
      </x:c>
      <x:c r="F7" s="9" t="str">
        <x:v>Assigned technician</x:v>
      </x:c>
      <x:c r="G7" s="9" t="str">
        <x:v>Opened at</x:v>
      </x:c>
      <x:c r="H7" s="9" t="str">
        <x:v>Closed at</x:v>
      </x:c>
      <x:c r="I7" s="9" t="str">
        <x:v>Closure hours</x:v>
      </x:c>
      <x:c r="J7" s="9" t="str">
        <x:v>Resolution / next action</x:v>
      </x:c>
    </x:row>
    <x:row r="8" ht="22" customHeight="1">
      <x:c r="A8" s="10" t="str">
        <x:v>DEMO-TKT-001</x:v>
      </x:c>
      <x:c r="B8" s="10" t="str">
        <x:v>Demo user 01</x:v>
      </x:c>
      <x:c r="C8" s="10" t="str">
        <x:v>Peripheral</x:v>
      </x:c>
      <x:c r="D8" s="10" t="str">
        <x:v>Low</x:v>
      </x:c>
      <x:c r="E8" s="10" t="str">
        <x:v>Closed</x:v>
      </x:c>
      <x:c r="F8" s="10" t="str">
        <x:v>Demo technician</x:v>
      </x:c>
      <x:c r="G8" s="13" t="d">
        <x:v>2026-10-20T09:00:00.000Z</x:v>
      </x:c>
      <x:c r="H8" s="13" t="d">
        <x:v>2026-10-20T10:30:00.000Z</x:v>
      </x:c>
      <x:c r="I8" s="14" t="n">
        <x:f>IF(A8="","",IF(OR(G8="",H8=""),"",IF(H8&lt;G8,"Check dates",(H8-G8)*24)))</x:f>
        <x:v>1.5</x:v>
      </x:c>
      <x:c r="J8" s="10" t="str">
        <x:v>Fictional example: approved printer queue restored and tested</x:v>
      </x:c>
    </x:row>
    <x:row r="9" ht="22" customHeight="1">
      <x:c r="A9" s="10" t="str">
        <x:v>DEMO-TKT-002</x:v>
      </x:c>
      <x:c r="B9" s="10" t="str">
        <x:v>Demo user 02</x:v>
      </x:c>
      <x:c r="C9" s="10" t="str">
        <x:v>Connectivity</x:v>
      </x:c>
      <x:c r="D9" s="10" t="str">
        <x:v>Medium</x:v>
      </x:c>
      <x:c r="E9" s="10" t="str">
        <x:v>In progress</x:v>
      </x:c>
      <x:c r="F9" s="10" t="str">
        <x:v>Demo technician</x:v>
      </x:c>
      <x:c r="G9" s="13" t="d">
        <x:v>2026-10-21T10:00:00.000Z</x:v>
      </x:c>
      <x:c r="H9" s="13" t="str"/>
      <x:c r="I9" s="14" t="str">
        <x:f>IF(A9="","",IF(OR(G9="",H9=""),"",IF(H9&lt;G9,"Check dates",(H9-G9)*24)))</x:f>
      </x:c>
      <x:c r="J9" s="10" t="str">
        <x:v>Fictional example: network checks in progress</x:v>
      </x:c>
    </x:row>
    <x:row r="10" ht="22" customHeight="1">
      <x:c r="A10" s="10" t="str">
        <x:v>DEMO-TKT-003</x:v>
      </x:c>
      <x:c r="B10" s="10" t="str">
        <x:v>Demo user 03</x:v>
      </x:c>
      <x:c r="C10" s="10" t="str">
        <x:v>Access</x:v>
      </x:c>
      <x:c r="D10" s="10" t="str">
        <x:v>Medium</x:v>
      </x:c>
      <x:c r="E10" s="10" t="str">
        <x:v>Escalated</x:v>
      </x:c>
      <x:c r="F10" s="10" t="str">
        <x:v>Demo technician</x:v>
      </x:c>
      <x:c r="G10" s="13" t="d">
        <x:v>2026-10-22T11:00:00.000Z</x:v>
      </x:c>
      <x:c r="H10" s="13" t="str"/>
      <x:c r="I10" s="14" t="str">
        <x:f>IF(A10="","",IF(OR(G10="",H10=""),"",IF(H10&lt;G10,"Check dates",(H10-G10)*24)))</x:f>
      </x:c>
      <x:c r="J10" s="10" t="str">
        <x:v>Fictional example: awaiting approved account review</x:v>
      </x:c>
    </x:row>
    <x:row r="11" ht="22" customHeight="1">
      <x:c r="A11" s="10"/>
      <x:c r="B11" s="10"/>
      <x:c r="C11" s="10"/>
      <x:c r="D11" s="10"/>
      <x:c r="E11" s="10"/>
      <x:c r="F11" s="10"/>
      <x:c r="G11" s="13"/>
      <x:c r="H11" s="13"/>
      <x:c r="I11" s="14" t="str">
        <x:f>IF(A11="","",IF(OR(G11="",H11=""),"",IF(H11&lt;G11,"Check dates",(H11-G11)*24)))</x:f>
      </x:c>
      <x:c r="J11" s="10"/>
    </x:row>
    <x:row r="12" ht="22" customHeight="1">
      <x:c r="A12" s="10"/>
      <x:c r="B12" s="10"/>
      <x:c r="C12" s="10"/>
      <x:c r="D12" s="10"/>
      <x:c r="E12" s="10"/>
      <x:c r="F12" s="10"/>
      <x:c r="G12" s="13"/>
      <x:c r="H12" s="13"/>
      <x:c r="I12" s="14" t="str">
        <x:f>IF(A12="","",IF(OR(G12="",H12=""),"",IF(H12&lt;G12,"Check dates",(H12-G12)*24)))</x:f>
      </x:c>
      <x:c r="J12" s="10"/>
    </x:row>
    <x:row r="13" ht="22" customHeight="1">
      <x:c r="A13" s="10"/>
      <x:c r="B13" s="10"/>
      <x:c r="C13" s="10"/>
      <x:c r="D13" s="10"/>
      <x:c r="E13" s="10"/>
      <x:c r="F13" s="10"/>
      <x:c r="G13" s="13"/>
      <x:c r="H13" s="13"/>
      <x:c r="I13" s="14" t="str">
        <x:f>IF(A13="","",IF(OR(G13="",H13=""),"",IF(H13&lt;G13,"Check dates",(H13-G13)*24)))</x:f>
      </x:c>
      <x:c r="J13" s="10"/>
    </x:row>
    <x:row r="14" ht="22" customHeight="1">
      <x:c r="A14" s="10"/>
      <x:c r="B14" s="10"/>
      <x:c r="C14" s="10"/>
      <x:c r="D14" s="10"/>
      <x:c r="E14" s="10"/>
      <x:c r="F14" s="10"/>
      <x:c r="G14" s="13"/>
      <x:c r="H14" s="13"/>
      <x:c r="I14" s="14" t="str">
        <x:f>IF(A14="","",IF(OR(G14="",H14=""),"",IF(H14&lt;G14,"Check dates",(H14-G14)*24)))</x:f>
      </x:c>
      <x:c r="J14" s="10"/>
    </x:row>
    <x:row r="15" ht="22" customHeight="1">
      <x:c r="A15" s="10"/>
      <x:c r="B15" s="10"/>
      <x:c r="C15" s="10"/>
      <x:c r="D15" s="10"/>
      <x:c r="E15" s="10"/>
      <x:c r="F15" s="10"/>
      <x:c r="G15" s="13"/>
      <x:c r="H15" s="13"/>
      <x:c r="I15" s="14" t="str">
        <x:f>IF(A15="","",IF(OR(G15="",H15=""),"",IF(H15&lt;G15,"Check dates",(H15-G15)*24)))</x:f>
      </x:c>
      <x:c r="J15" s="10"/>
    </x:row>
    <x:row r="16" ht="22" customHeight="1">
      <x:c r="A16" s="10"/>
      <x:c r="B16" s="10"/>
      <x:c r="C16" s="10"/>
      <x:c r="D16" s="10"/>
      <x:c r="E16" s="10"/>
      <x:c r="F16" s="10"/>
      <x:c r="G16" s="13"/>
      <x:c r="H16" s="13"/>
      <x:c r="I16" s="14" t="str">
        <x:f>IF(A16="","",IF(OR(G16="",H16=""),"",IF(H16&lt;G16,"Check dates",(H16-G16)*24)))</x:f>
      </x:c>
      <x:c r="J16" s="10"/>
    </x:row>
    <x:row r="17" ht="22" customHeight="1">
      <x:c r="A17" s="10"/>
      <x:c r="B17" s="10"/>
      <x:c r="C17" s="10"/>
      <x:c r="D17" s="10"/>
      <x:c r="E17" s="10"/>
      <x:c r="F17" s="10"/>
      <x:c r="G17" s="13"/>
      <x:c r="H17" s="13"/>
      <x:c r="I17" s="14" t="str">
        <x:f>IF(A17="","",IF(OR(G17="",H17=""),"",IF(H17&lt;G17,"Check dates",(H17-G17)*24)))</x:f>
      </x:c>
      <x:c r="J17" s="10"/>
    </x:row>
    <x:row r="18" ht="22" customHeight="1">
      <x:c r="A18" s="10"/>
      <x:c r="B18" s="10"/>
      <x:c r="C18" s="10"/>
      <x:c r="D18" s="10"/>
      <x:c r="E18" s="10"/>
      <x:c r="F18" s="10"/>
      <x:c r="G18" s="13"/>
      <x:c r="H18" s="13"/>
      <x:c r="I18" s="14" t="str">
        <x:f>IF(A18="","",IF(OR(G18="",H18=""),"",IF(H18&lt;G18,"Check dates",(H18-G18)*24)))</x:f>
      </x:c>
      <x:c r="J18" s="10"/>
    </x:row>
    <x:row r="19" ht="22" customHeight="1">
      <x:c r="A19" s="10"/>
      <x:c r="B19" s="10"/>
      <x:c r="C19" s="10"/>
      <x:c r="D19" s="10"/>
      <x:c r="E19" s="10"/>
      <x:c r="F19" s="10"/>
      <x:c r="G19" s="13"/>
      <x:c r="H19" s="13"/>
      <x:c r="I19" s="14" t="str">
        <x:f>IF(A19="","",IF(OR(G19="",H19=""),"",IF(H19&lt;G19,"Check dates",(H19-G19)*24)))</x:f>
      </x:c>
      <x:c r="J19" s="10"/>
    </x:row>
    <x:row r="20" ht="22" customHeight="1">
      <x:c r="A20" s="10"/>
      <x:c r="B20" s="10"/>
      <x:c r="C20" s="10"/>
      <x:c r="D20" s="10"/>
      <x:c r="E20" s="10"/>
      <x:c r="F20" s="10"/>
      <x:c r="G20" s="13"/>
      <x:c r="H20" s="13"/>
      <x:c r="I20" s="14" t="str">
        <x:f>IF(A20="","",IF(OR(G20="",H20=""),"",IF(H20&lt;G20,"Check dates",(H20-G20)*24)))</x:f>
      </x:c>
      <x:c r="J20" s="10"/>
    </x:row>
    <x:row r="21" ht="22" customHeight="1">
      <x:c r="A21" s="10"/>
      <x:c r="B21" s="10"/>
      <x:c r="C21" s="10"/>
      <x:c r="D21" s="10"/>
      <x:c r="E21" s="10"/>
      <x:c r="F21" s="10"/>
      <x:c r="G21" s="13"/>
      <x:c r="H21" s="13"/>
      <x:c r="I21" s="14" t="str">
        <x:f>IF(A21="","",IF(OR(G21="",H21=""),"",IF(H21&lt;G21,"Check dates",(H21-G21)*24)))</x:f>
      </x:c>
      <x:c r="J21" s="10"/>
    </x:row>
    <x:row r="22" ht="22" customHeight="1">
      <x:c r="A22" s="10"/>
      <x:c r="B22" s="10"/>
      <x:c r="C22" s="10"/>
      <x:c r="D22" s="10"/>
      <x:c r="E22" s="10"/>
      <x:c r="F22" s="10"/>
      <x:c r="G22" s="13"/>
      <x:c r="H22" s="13"/>
      <x:c r="I22" s="14" t="str">
        <x:f>IF(A22="","",IF(OR(G22="",H22=""),"",IF(H22&lt;G22,"Check dates",(H22-G22)*24)))</x:f>
      </x:c>
      <x:c r="J22" s="10"/>
    </x:row>
    <x:row r="23" ht="22" customHeight="1">
      <x:c r="A23" s="10"/>
      <x:c r="B23" s="10"/>
      <x:c r="C23" s="10"/>
      <x:c r="D23" s="10"/>
      <x:c r="E23" s="10"/>
      <x:c r="F23" s="10"/>
      <x:c r="G23" s="13"/>
      <x:c r="H23" s="13"/>
      <x:c r="I23" s="14" t="str">
        <x:f>IF(A23="","",IF(OR(G23="",H23=""),"",IF(H23&lt;G23,"Check dates",(H23-G23)*24)))</x:f>
      </x:c>
      <x:c r="J23" s="10"/>
    </x:row>
    <x:row r="24" ht="22" customHeight="1">
      <x:c r="A24" s="10"/>
      <x:c r="B24" s="10"/>
      <x:c r="C24" s="10"/>
      <x:c r="D24" s="10"/>
      <x:c r="E24" s="10"/>
      <x:c r="F24" s="10"/>
      <x:c r="G24" s="13"/>
      <x:c r="H24" s="13"/>
      <x:c r="I24" s="14" t="str">
        <x:f>IF(A24="","",IF(OR(G24="",H24=""),"",IF(H24&lt;G24,"Check dates",(H24-G24)*24)))</x:f>
      </x:c>
      <x:c r="J24" s="10"/>
    </x:row>
    <x:row r="25" ht="22" customHeight="1">
      <x:c r="A25" s="10"/>
      <x:c r="B25" s="10"/>
      <x:c r="C25" s="10"/>
      <x:c r="D25" s="10"/>
      <x:c r="E25" s="10"/>
      <x:c r="F25" s="10"/>
      <x:c r="G25" s="13"/>
      <x:c r="H25" s="13"/>
      <x:c r="I25" s="14" t="str">
        <x:f>IF(A25="","",IF(OR(G25="",H25=""),"",IF(H25&lt;G25,"Check dates",(H25-G25)*24)))</x:f>
      </x:c>
      <x:c r="J25" s="10"/>
    </x:row>
    <x:row r="26" ht="22" customHeight="1">
      <x:c r="A26" s="10"/>
      <x:c r="B26" s="10"/>
      <x:c r="C26" s="10"/>
      <x:c r="D26" s="10"/>
      <x:c r="E26" s="10"/>
      <x:c r="F26" s="10"/>
      <x:c r="G26" s="13"/>
      <x:c r="H26" s="13"/>
      <x:c r="I26" s="14" t="str">
        <x:f>IF(A26="","",IF(OR(G26="",H26=""),"",IF(H26&lt;G26,"Check dates",(H26-G26)*24)))</x:f>
      </x:c>
      <x:c r="J26" s="10"/>
    </x:row>
    <x:row r="27" ht="22" customHeight="1">
      <x:c r="A27" s="10"/>
      <x:c r="B27" s="10"/>
      <x:c r="C27" s="10"/>
      <x:c r="D27" s="10"/>
      <x:c r="E27" s="10"/>
      <x:c r="F27" s="10"/>
      <x:c r="G27" s="13"/>
      <x:c r="H27" s="13"/>
      <x:c r="I27" s="14" t="str">
        <x:f>IF(A27="","",IF(OR(G27="",H27=""),"",IF(H27&lt;G27,"Check dates",(H27-G27)*24)))</x:f>
      </x:c>
      <x:c r="J27" s="10"/>
    </x:row>
    <x:row r="28" ht="22" customHeight="1">
      <x:c r="A28" s="10"/>
      <x:c r="B28" s="10"/>
      <x:c r="C28" s="10"/>
      <x:c r="D28" s="10"/>
      <x:c r="E28" s="10"/>
      <x:c r="F28" s="10"/>
      <x:c r="G28" s="13"/>
      <x:c r="H28" s="13"/>
      <x:c r="I28" s="14" t="str">
        <x:f>IF(A28="","",IF(OR(G28="",H28=""),"",IF(H28&lt;G28,"Check dates",(H28-G28)*24)))</x:f>
      </x:c>
      <x:c r="J28" s="10"/>
    </x:row>
    <x:row r="29" ht="22" customHeight="1">
      <x:c r="A29" s="10"/>
      <x:c r="B29" s="10"/>
      <x:c r="C29" s="10"/>
      <x:c r="D29" s="10"/>
      <x:c r="E29" s="10"/>
      <x:c r="F29" s="10"/>
      <x:c r="G29" s="13"/>
      <x:c r="H29" s="13"/>
      <x:c r="I29" s="14" t="str">
        <x:f>IF(A29="","",IF(OR(G29="",H29=""),"",IF(H29&lt;G29,"Check dates",(H29-G29)*24)))</x:f>
      </x:c>
      <x:c r="J29" s="10"/>
    </x:row>
    <x:row r="30" ht="22" customHeight="1">
      <x:c r="A30" s="10"/>
      <x:c r="B30" s="10"/>
      <x:c r="C30" s="10"/>
      <x:c r="D30" s="10"/>
      <x:c r="E30" s="10"/>
      <x:c r="F30" s="10"/>
      <x:c r="G30" s="13"/>
      <x:c r="H30" s="13"/>
      <x:c r="I30" s="14" t="str">
        <x:f>IF(A30="","",IF(OR(G30="",H30=""),"",IF(H30&lt;G30,"Check dates",(H30-G30)*24)))</x:f>
      </x:c>
      <x:c r="J30" s="10"/>
    </x:row>
    <x:row r="31" ht="22" customHeight="1">
      <x:c r="A31" s="10"/>
      <x:c r="B31" s="10"/>
      <x:c r="C31" s="10"/>
      <x:c r="D31" s="10"/>
      <x:c r="E31" s="10"/>
      <x:c r="F31" s="10"/>
      <x:c r="G31" s="13"/>
      <x:c r="H31" s="13"/>
      <x:c r="I31" s="14" t="str">
        <x:f>IF(A31="","",IF(OR(G31="",H31=""),"",IF(H31&lt;G31,"Check dates",(H31-G31)*24)))</x:f>
      </x:c>
      <x:c r="J31" s="10"/>
    </x:row>
    <x:row r="32" ht="22" customHeight="1">
      <x:c r="A32" s="10"/>
      <x:c r="B32" s="10"/>
      <x:c r="C32" s="10"/>
      <x:c r="D32" s="10"/>
      <x:c r="E32" s="10"/>
      <x:c r="F32" s="10"/>
      <x:c r="G32" s="13"/>
      <x:c r="H32" s="13"/>
      <x:c r="I32" s="14" t="str">
        <x:f>IF(A32="","",IF(OR(G32="",H32=""),"",IF(H32&lt;G32,"Check dates",(H32-G32)*24)))</x:f>
      </x:c>
      <x:c r="J32" s="10"/>
    </x:row>
    <x:row r="33" ht="22" customHeight="1">
      <x:c r="A33" s="10"/>
      <x:c r="B33" s="10"/>
      <x:c r="C33" s="10"/>
      <x:c r="D33" s="10"/>
      <x:c r="E33" s="10"/>
      <x:c r="F33" s="10"/>
      <x:c r="G33" s="13"/>
      <x:c r="H33" s="13"/>
      <x:c r="I33" s="14" t="str">
        <x:f>IF(A33="","",IF(OR(G33="",H33=""),"",IF(H33&lt;G33,"Check dates",(H33-G33)*24)))</x:f>
      </x:c>
      <x:c r="J33" s="10"/>
    </x:row>
    <x:row r="34" ht="22" customHeight="1">
      <x:c r="A34" s="10"/>
      <x:c r="B34" s="10"/>
      <x:c r="C34" s="10"/>
      <x:c r="D34" s="10"/>
      <x:c r="E34" s="10"/>
      <x:c r="F34" s="10"/>
      <x:c r="G34" s="13"/>
      <x:c r="H34" s="13"/>
      <x:c r="I34" s="14" t="str">
        <x:f>IF(A34="","",IF(OR(G34="",H34=""),"",IF(H34&lt;G34,"Check dates",(H34-G34)*24)))</x:f>
      </x:c>
      <x:c r="J34" s="10"/>
    </x:row>
    <x:row r="35" ht="22" customHeight="1">
      <x:c r="A35" s="10"/>
      <x:c r="B35" s="10"/>
      <x:c r="C35" s="10"/>
      <x:c r="D35" s="10"/>
      <x:c r="E35" s="10"/>
      <x:c r="F35" s="10"/>
      <x:c r="G35" s="13"/>
      <x:c r="H35" s="13"/>
      <x:c r="I35" s="14" t="str">
        <x:f>IF(A35="","",IF(OR(G35="",H35=""),"",IF(H35&lt;G35,"Check dates",(H35-G35)*24)))</x:f>
      </x:c>
      <x:c r="J35" s="10"/>
    </x:row>
    <x:row r="36" ht="22" customHeight="1">
      <x:c r="A36" s="10"/>
      <x:c r="B36" s="10"/>
      <x:c r="C36" s="10"/>
      <x:c r="D36" s="10"/>
      <x:c r="E36" s="10"/>
      <x:c r="F36" s="10"/>
      <x:c r="G36" s="13"/>
      <x:c r="H36" s="13"/>
      <x:c r="I36" s="14" t="str">
        <x:f>IF(A36="","",IF(OR(G36="",H36=""),"",IF(H36&lt;G36,"Check dates",(H36-G36)*24)))</x:f>
      </x:c>
      <x:c r="J36" s="10"/>
    </x:row>
    <x:row r="37" ht="22" customHeight="1">
      <x:c r="A37" s="10"/>
      <x:c r="B37" s="10"/>
      <x:c r="C37" s="10"/>
      <x:c r="D37" s="10"/>
      <x:c r="E37" s="10"/>
      <x:c r="F37" s="10"/>
      <x:c r="G37" s="13"/>
      <x:c r="H37" s="13"/>
      <x:c r="I37" s="14" t="str">
        <x:f>IF(A37="","",IF(OR(G37="",H37=""),"",IF(H37&lt;G37,"Check dates",(H37-G37)*24)))</x:f>
      </x:c>
      <x:c r="J37" s="10"/>
    </x:row>
    <x:row r="38" ht="22" customHeight="1">
      <x:c r="A38" s="10"/>
      <x:c r="B38" s="10"/>
      <x:c r="C38" s="10"/>
      <x:c r="D38" s="10"/>
      <x:c r="E38" s="10"/>
      <x:c r="F38" s="10"/>
      <x:c r="G38" s="13"/>
      <x:c r="H38" s="13"/>
      <x:c r="I38" s="14" t="str">
        <x:f>IF(A38="","",IF(OR(G38="",H38=""),"",IF(H38&lt;G38,"Check dates",(H38-G38)*24)))</x:f>
      </x:c>
      <x:c r="J38" s="10"/>
    </x:row>
    <x:row r="39" ht="22" customHeight="1">
      <x:c r="A39" s="10"/>
      <x:c r="B39" s="10"/>
      <x:c r="C39" s="10"/>
      <x:c r="D39" s="10"/>
      <x:c r="E39" s="10"/>
      <x:c r="F39" s="10"/>
      <x:c r="G39" s="13"/>
      <x:c r="H39" s="13"/>
      <x:c r="I39" s="14" t="str">
        <x:f>IF(A39="","",IF(OR(G39="",H39=""),"",IF(H39&lt;G39,"Check dates",(H39-G39)*24)))</x:f>
      </x:c>
      <x:c r="J39" s="10"/>
    </x:row>
    <x:row r="40" ht="22" customHeight="1">
      <x:c r="A40" s="10"/>
      <x:c r="B40" s="10"/>
      <x:c r="C40" s="10"/>
      <x:c r="D40" s="10"/>
      <x:c r="E40" s="10"/>
      <x:c r="F40" s="10"/>
      <x:c r="G40" s="13"/>
      <x:c r="H40" s="13"/>
      <x:c r="I40" s="14" t="str">
        <x:f>IF(A40="","",IF(OR(G40="",H40=""),"",IF(H40&lt;G40,"Check dates",(H40-G40)*24)))</x:f>
      </x:c>
      <x:c r="J40" s="10"/>
    </x:row>
    <x:row r="41" ht="22" customHeight="1">
      <x:c r="A41" s="10"/>
      <x:c r="B41" s="10"/>
      <x:c r="C41" s="10"/>
      <x:c r="D41" s="10"/>
      <x:c r="E41" s="10"/>
      <x:c r="F41" s="10"/>
      <x:c r="G41" s="13"/>
      <x:c r="H41" s="13"/>
      <x:c r="I41" s="14" t="str">
        <x:f>IF(A41="","",IF(OR(G41="",H41=""),"",IF(H41&lt;G41,"Check dates",(H41-G41)*24)))</x:f>
      </x:c>
      <x:c r="J41" s="10"/>
    </x:row>
    <x:row r="42" ht="22" customHeight="1">
      <x:c r="A42" s="10"/>
      <x:c r="B42" s="10"/>
      <x:c r="C42" s="10"/>
      <x:c r="D42" s="10"/>
      <x:c r="E42" s="10"/>
      <x:c r="F42" s="10"/>
      <x:c r="G42" s="13"/>
      <x:c r="H42" s="13"/>
      <x:c r="I42" s="14" t="str">
        <x:f>IF(A42="","",IF(OR(G42="",H42=""),"",IF(H42&lt;G42,"Check dates",(H42-G42)*24)))</x:f>
      </x:c>
      <x:c r="J42" s="10"/>
    </x:row>
    <x:row r="43" ht="22" customHeight="1">
      <x:c r="A43" s="10"/>
      <x:c r="B43" s="10"/>
      <x:c r="C43" s="10"/>
      <x:c r="D43" s="10"/>
      <x:c r="E43" s="10"/>
      <x:c r="F43" s="10"/>
      <x:c r="G43" s="13"/>
      <x:c r="H43" s="13"/>
      <x:c r="I43" s="14" t="str">
        <x:f>IF(A43="","",IF(OR(G43="",H43=""),"",IF(H43&lt;G43,"Check dates",(H43-G43)*24)))</x:f>
      </x:c>
      <x:c r="J43" s="10"/>
    </x:row>
    <x:row r="44" ht="22" customHeight="1">
      <x:c r="A44" s="10"/>
      <x:c r="B44" s="10"/>
      <x:c r="C44" s="10"/>
      <x:c r="D44" s="10"/>
      <x:c r="E44" s="10"/>
      <x:c r="F44" s="10"/>
      <x:c r="G44" s="13"/>
      <x:c r="H44" s="13"/>
      <x:c r="I44" s="14" t="str">
        <x:f>IF(A44="","",IF(OR(G44="",H44=""),"",IF(H44&lt;G44,"Check dates",(H44-G44)*24)))</x:f>
      </x:c>
      <x:c r="J44" s="10"/>
    </x:row>
    <x:row r="45" ht="22" customHeight="1">
      <x:c r="A45" s="10"/>
      <x:c r="B45" s="10"/>
      <x:c r="C45" s="10"/>
      <x:c r="D45" s="10"/>
      <x:c r="E45" s="10"/>
      <x:c r="F45" s="10"/>
      <x:c r="G45" s="13"/>
      <x:c r="H45" s="13"/>
      <x:c r="I45" s="14" t="str">
        <x:f>IF(A45="","",IF(OR(G45="",H45=""),"",IF(H45&lt;G45,"Check dates",(H45-G45)*24)))</x:f>
      </x:c>
      <x:c r="J45" s="10"/>
    </x:row>
    <x:row r="46" ht="22" customHeight="1">
      <x:c r="A46" s="10"/>
      <x:c r="B46" s="10"/>
      <x:c r="C46" s="10"/>
      <x:c r="D46" s="10"/>
      <x:c r="E46" s="10"/>
      <x:c r="F46" s="10"/>
      <x:c r="G46" s="13"/>
      <x:c r="H46" s="13"/>
      <x:c r="I46" s="14" t="str">
        <x:f>IF(A46="","",IF(OR(G46="",H46=""),"",IF(H46&lt;G46,"Check dates",(H46-G46)*24)))</x:f>
      </x:c>
      <x:c r="J46" s="10"/>
    </x:row>
    <x:row r="47" ht="22" customHeight="1">
      <x:c r="A47" s="10"/>
      <x:c r="B47" s="10"/>
      <x:c r="C47" s="10"/>
      <x:c r="D47" s="10"/>
      <x:c r="E47" s="10"/>
      <x:c r="F47" s="10"/>
      <x:c r="G47" s="13"/>
      <x:c r="H47" s="13"/>
      <x:c r="I47" s="14" t="str">
        <x:f>IF(A47="","",IF(OR(G47="",H47=""),"",IF(H47&lt;G47,"Check dates",(H47-G47)*24)))</x:f>
      </x:c>
      <x:c r="J47" s="10"/>
    </x:row>
    <x:row r="48" ht="22" customHeight="1">
      <x:c r="A48" s="10"/>
      <x:c r="B48" s="10"/>
      <x:c r="C48" s="10"/>
      <x:c r="D48" s="10"/>
      <x:c r="E48" s="10"/>
      <x:c r="F48" s="10"/>
      <x:c r="G48" s="13"/>
      <x:c r="H48" s="13"/>
      <x:c r="I48" s="14" t="str">
        <x:f>IF(A48="","",IF(OR(G48="",H48=""),"",IF(H48&lt;G48,"Check dates",(H48-G48)*24)))</x:f>
      </x:c>
      <x:c r="J48" s="10"/>
    </x:row>
    <x:row r="49" ht="22" customHeight="1">
      <x:c r="A49" s="10"/>
      <x:c r="B49" s="10"/>
      <x:c r="C49" s="10"/>
      <x:c r="D49" s="10"/>
      <x:c r="E49" s="10"/>
      <x:c r="F49" s="10"/>
      <x:c r="G49" s="13"/>
      <x:c r="H49" s="13"/>
      <x:c r="I49" s="14" t="str">
        <x:f>IF(A49="","",IF(OR(G49="",H49=""),"",IF(H49&lt;G49,"Check dates",(H49-G49)*24)))</x:f>
      </x:c>
      <x:c r="J49" s="10"/>
    </x:row>
    <x:row r="50" ht="22" customHeight="1">
      <x:c r="A50" s="10"/>
      <x:c r="B50" s="10"/>
      <x:c r="C50" s="10"/>
      <x:c r="D50" s="10"/>
      <x:c r="E50" s="10"/>
      <x:c r="F50" s="10"/>
      <x:c r="G50" s="13"/>
      <x:c r="H50" s="13"/>
      <x:c r="I50" s="14" t="str">
        <x:f>IF(A50="","",IF(OR(G50="",H50=""),"",IF(H50&lt;G50,"Check dates",(H50-G50)*24)))</x:f>
      </x:c>
      <x:c r="J50" s="10"/>
    </x:row>
    <x:row r="51" ht="22" customHeight="1">
      <x:c r="A51" s="10"/>
      <x:c r="B51" s="10"/>
      <x:c r="C51" s="10"/>
      <x:c r="D51" s="10"/>
      <x:c r="E51" s="10"/>
      <x:c r="F51" s="10"/>
      <x:c r="G51" s="13"/>
      <x:c r="H51" s="13"/>
      <x:c r="I51" s="14" t="str">
        <x:f>IF(A51="","",IF(OR(G51="",H51=""),"",IF(H51&lt;G51,"Check dates",(H51-G51)*24)))</x:f>
      </x:c>
      <x:c r="J51" s="10"/>
    </x:row>
    <x:row r="52" ht="22" customHeight="1">
      <x:c r="A52" s="10"/>
      <x:c r="B52" s="10"/>
      <x:c r="C52" s="10"/>
      <x:c r="D52" s="10"/>
      <x:c r="E52" s="10"/>
      <x:c r="F52" s="10"/>
      <x:c r="G52" s="13"/>
      <x:c r="H52" s="13"/>
      <x:c r="I52" s="14" t="str">
        <x:f>IF(A52="","",IF(OR(G52="",H52=""),"",IF(H52&lt;G52,"Check dates",(H52-G52)*24)))</x:f>
      </x:c>
      <x:c r="J52" s="10"/>
    </x:row>
    <x:row r="53" ht="22" customHeight="1">
      <x:c r="A53" s="10"/>
      <x:c r="B53" s="10"/>
      <x:c r="C53" s="10"/>
      <x:c r="D53" s="10"/>
      <x:c r="E53" s="10"/>
      <x:c r="F53" s="10"/>
      <x:c r="G53" s="13"/>
      <x:c r="H53" s="13"/>
      <x:c r="I53" s="14" t="str">
        <x:f>IF(A53="","",IF(OR(G53="",H53=""),"",IF(H53&lt;G53,"Check dates",(H53-G53)*24)))</x:f>
      </x:c>
      <x:c r="J53" s="10"/>
    </x:row>
    <x:row r="54" ht="22" customHeight="1">
      <x:c r="A54" s="10"/>
      <x:c r="B54" s="10"/>
      <x:c r="C54" s="10"/>
      <x:c r="D54" s="10"/>
      <x:c r="E54" s="10"/>
      <x:c r="F54" s="10"/>
      <x:c r="G54" s="13"/>
      <x:c r="H54" s="13"/>
      <x:c r="I54" s="14" t="str">
        <x:f>IF(A54="","",IF(OR(G54="",H54=""),"",IF(H54&lt;G54,"Check dates",(H54-G54)*24)))</x:f>
      </x:c>
      <x:c r="J54" s="10"/>
    </x:row>
    <x:row r="55" ht="22" customHeight="1">
      <x:c r="A55" s="10"/>
      <x:c r="B55" s="10"/>
      <x:c r="C55" s="10"/>
      <x:c r="D55" s="10"/>
      <x:c r="E55" s="10"/>
      <x:c r="F55" s="10"/>
      <x:c r="G55" s="13"/>
      <x:c r="H55" s="13"/>
      <x:c r="I55" s="14" t="str">
        <x:f>IF(A55="","",IF(OR(G55="",H55=""),"",IF(H55&lt;G55,"Check dates",(H55-G55)*24)))</x:f>
      </x:c>
      <x:c r="J55" s="10"/>
    </x:row>
    <x:row r="56" ht="22" customHeight="1">
      <x:c r="A56" s="10"/>
      <x:c r="B56" s="10"/>
      <x:c r="C56" s="10"/>
      <x:c r="D56" s="10"/>
      <x:c r="E56" s="10"/>
      <x:c r="F56" s="10"/>
      <x:c r="G56" s="13"/>
      <x:c r="H56" s="13"/>
      <x:c r="I56" s="14" t="str">
        <x:f>IF(A56="","",IF(OR(G56="",H56=""),"",IF(H56&lt;G56,"Check dates",(H56-G56)*24)))</x:f>
      </x:c>
      <x:c r="J56" s="10"/>
    </x:row>
    <x:row r="57" ht="22" customHeight="1">
      <x:c r="A57" s="10"/>
      <x:c r="B57" s="10"/>
      <x:c r="C57" s="10"/>
      <x:c r="D57" s="10"/>
      <x:c r="E57" s="10"/>
      <x:c r="F57" s="10"/>
      <x:c r="G57" s="13"/>
      <x:c r="H57" s="13"/>
      <x:c r="I57" s="14" t="str">
        <x:f>IF(A57="","",IF(OR(G57="",H57=""),"",IF(H57&lt;G57,"Check dates",(H57-G57)*24)))</x:f>
      </x:c>
      <x:c r="J57" s="10"/>
    </x:row>
  </x:sheetData>
  <x:conditionalFormatting sqref="E8:E57">
    <x:cfRule type="containsText" dxfId="1" priority="1" operator="containsText" text="Escalated"/>
  </x:conditionalFormatting>
  <x:dataValidations count="2">
    <x:dataValidation type="list" sqref="D8:D57">
      <x:formula1>"Low,Medium,High,Critical"</x:formula1>
    </x:dataValidation>
    <x:dataValidation type="list" sqref="E8:E57">
      <x:formula1>"Open,In progress,Escalated,Closed"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92c10e3fe4425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1" hidden="0" customWidth="1"/>
    <x:col min="4" max="4" width="21" hidden="0" customWidth="1"/>
    <x:col min="5" max="5" width="21" hidden="0" customWidth="1"/>
    <x:col min="6" max="6" width="31" hidden="0" customWidth="1"/>
    <x:col min="7" max="7" width="21" hidden="0" customWidth="1"/>
    <x:col min="8" max="8" width="21" hidden="0" customWidth="1"/>
    <x:col min="9" max="9" width="21" hidden="0" customWidth="1"/>
    <x:col min="10" max="10" width="43" hidden="0" customWidth="1"/>
    <x:col min="11" max="11" width="21" hidden="0" customWidth="1"/>
    <x:col min="12" max="12" width="21" hidden="0" customWidth="1"/>
    <x:col min="13" max="13" width="21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2" customHeight="1">
      <x:c r="A2" s="2" t="str">
        <x:v>Basic IT risk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2" customHeight="1">
      <x:c r="A3" s="3" t="str">
        <x:v>Learning sample only. Fictional risks and ratings. No formal risk-management experience claimed.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2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</x:row>
    <x:row r="5" ht="22" customHeight="1">
      <x:c r="A5" s="1" t="str">
        <x:v>Demo records</x:v>
      </x:c>
      <x:c r="B5" s="1"/>
      <x:c r="C5" s="12" t="n">
        <x:f>COUNTA(A8:A57)</x:f>
        <x:v>3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 ht="40" customHeight="1">
      <x:c r="A7" s="9" t="str">
        <x:v>Risk ID</x:v>
      </x:c>
      <x:c r="B7" s="9" t="str">
        <x:v>Risk description</x:v>
      </x:c>
      <x:c r="C7" s="9" t="str">
        <x:v>Asset / process</x:v>
      </x:c>
      <x:c r="D7" s="9" t="str">
        <x:v>Cause</x:v>
      </x:c>
      <x:c r="E7" s="9" t="str">
        <x:v>Potential effect</x:v>
      </x:c>
      <x:c r="F7" s="9" t="str">
        <x:v>Existing control example</x:v>
      </x:c>
      <x:c r="G7" s="9" t="str">
        <x:v>Likelihood (1-5)</x:v>
      </x:c>
      <x:c r="H7" s="9" t="str">
        <x:v>Impact (1-5)</x:v>
      </x:c>
      <x:c r="I7" s="9" t="str">
        <x:v>Sample score</x:v>
      </x:c>
      <x:c r="J7" s="9" t="str">
        <x:v>Action</x:v>
      </x:c>
      <x:c r="K7" s="9" t="str">
        <x:v>Owner</x:v>
      </x:c>
      <x:c r="L7" s="9" t="str">
        <x:v>Status</x:v>
      </x:c>
      <x:c r="M7" s="9" t="str">
        <x:v>Review date</x:v>
      </x:c>
    </x:row>
    <x:row r="8" ht="22" customHeight="1">
      <x:c r="A8" s="10" t="str">
        <x:v>DEMO-RISK-001</x:v>
      </x:c>
      <x:c r="B8" s="10" t="str">
        <x:v>Backup recovery is untested</x:v>
      </x:c>
      <x:c r="C8" s="10" t="str">
        <x:v>Work records</x:v>
      </x:c>
      <x:c r="D8" s="10" t="str">
        <x:v>No recent approved test</x:v>
      </x:c>
      <x:c r="E8" s="10" t="str">
        <x:v>Recovery may fail</x:v>
      </x:c>
      <x:c r="F8" s="10" t="str">
        <x:v>Scheduled backup jobs</x:v>
      </x:c>
      <x:c r="G8" s="10" t="n">
        <x:v>3</x:v>
      </x:c>
      <x:c r="H8" s="10" t="n">
        <x:v>4</x:v>
      </x:c>
      <x:c r="I8" s="10" t="n">
        <x:f>IF(A8="","",IF(OR(G8="",H8=""),"",G8*H8))</x:f>
        <x:v>12</x:v>
      </x:c>
      <x:c r="J8" s="10" t="str">
        <x:v>Arrange approved isolated recovery test</x:v>
      </x:c>
      <x:c r="K8" s="10" t="str">
        <x:v>Demo IT owner</x:v>
      </x:c>
      <x:c r="L8" s="10" t="str">
        <x:v>Open</x:v>
      </x:c>
      <x:c r="M8" s="11" t="d">
        <x:v>2026-11-24T12:00:00.000Z</x:v>
      </x:c>
    </x:row>
    <x:row r="9" ht="22" customHeight="1">
      <x:c r="A9" s="10" t="str">
        <x:v>DEMO-RISK-002</x:v>
      </x:c>
      <x:c r="B9" s="10" t="str">
        <x:v>Device handover record missing</x:v>
      </x:c>
      <x:c r="C9" s="10" t="str">
        <x:v>Office devices</x:v>
      </x:c>
      <x:c r="D9" s="10" t="str">
        <x:v>Incomplete record</x:v>
      </x:c>
      <x:c r="E9" s="10" t="str">
        <x:v>Unclear device accountability</x:v>
      </x:c>
      <x:c r="F9" s="10" t="str">
        <x:v>Asset register</x:v>
      </x:c>
      <x:c r="G9" s="10" t="n">
        <x:v>2</x:v>
      </x:c>
      <x:c r="H9" s="10" t="n">
        <x:v>3</x:v>
      </x:c>
      <x:c r="I9" s="10" t="n">
        <x:f>IF(A9="","",IF(OR(G9="",H9=""),"",G9*H9))</x:f>
        <x:v>6</x:v>
      </x:c>
      <x:c r="J9" s="10" t="str">
        <x:v>Record handover and assigned user</x:v>
      </x:c>
      <x:c r="K9" s="10" t="str">
        <x:v>Demo asset owner</x:v>
      </x:c>
      <x:c r="L9" s="10" t="str">
        <x:v>Open</x:v>
      </x:c>
      <x:c r="M9" s="11" t="d">
        <x:v>2026-11-24T12:00:00.000Z</x:v>
      </x:c>
    </x:row>
    <x:row r="10" ht="22" customHeight="1">
      <x:c r="A10" s="10" t="str">
        <x:v>DEMO-RISK-003</x:v>
      </x:c>
      <x:c r="B10" s="10" t="str">
        <x:v>Support instructions are outdated</x:v>
      </x:c>
      <x:c r="C10" s="10" t="str">
        <x:v>User guidance</x:v>
      </x:c>
      <x:c r="D10" s="10" t="str">
        <x:v>No review owner</x:v>
      </x:c>
      <x:c r="E10" s="10" t="str">
        <x:v>Inconsistent support actions</x:v>
      </x:c>
      <x:c r="F10" s="10" t="str">
        <x:v>Shared support guide</x:v>
      </x:c>
      <x:c r="G10" s="10" t="n">
        <x:v>2</x:v>
      </x:c>
      <x:c r="H10" s="10" t="n">
        <x:v>2</x:v>
      </x:c>
      <x:c r="I10" s="10" t="n">
        <x:f>IF(A10="","",IF(OR(G10="",H10=""),"",G10*H10))</x:f>
        <x:v>4</x:v>
      </x:c>
      <x:c r="J10" s="10" t="str">
        <x:v>Assign review owner and update guide</x:v>
      </x:c>
      <x:c r="K10" s="10" t="str">
        <x:v>Demo support owner</x:v>
      </x:c>
      <x:c r="L10" s="10" t="str">
        <x:v>In progress</x:v>
      </x:c>
      <x:c r="M10" s="11" t="d">
        <x:v>2026-11-24T12:00:00.000Z</x:v>
      </x:c>
    </x:row>
    <x:row r="11" ht="22" customHeight="1">
      <x:c r="A11" s="10"/>
      <x:c r="B11" s="10"/>
      <x:c r="C11" s="10"/>
      <x:c r="D11" s="10"/>
      <x:c r="E11" s="10"/>
      <x:c r="F11" s="10"/>
      <x:c r="G11" s="10"/>
      <x:c r="H11" s="10"/>
      <x:c r="I11" s="10" t="str">
        <x:f>IF(A11="","",IF(OR(G11="",H11=""),"",G11*H11))</x:f>
      </x:c>
      <x:c r="J11" s="10"/>
      <x:c r="K11" s="10"/>
      <x:c r="L11" s="10"/>
      <x:c r="M11" s="11"/>
    </x:row>
    <x:row r="12" ht="22" customHeight="1">
      <x:c r="A12" s="10"/>
      <x:c r="B12" s="10"/>
      <x:c r="C12" s="10"/>
      <x:c r="D12" s="10"/>
      <x:c r="E12" s="10"/>
      <x:c r="F12" s="10"/>
      <x:c r="G12" s="10"/>
      <x:c r="H12" s="10"/>
      <x:c r="I12" s="10" t="str">
        <x:f>IF(A12="","",IF(OR(G12="",H12=""),"",G12*H12))</x:f>
      </x:c>
      <x:c r="J12" s="10"/>
      <x:c r="K12" s="10"/>
      <x:c r="L12" s="10"/>
      <x:c r="M12" s="11"/>
    </x:row>
    <x:row r="13" ht="22" customHeight="1">
      <x:c r="A13" s="10"/>
      <x:c r="B13" s="10"/>
      <x:c r="C13" s="10"/>
      <x:c r="D13" s="10"/>
      <x:c r="E13" s="10"/>
      <x:c r="F13" s="10"/>
      <x:c r="G13" s="10"/>
      <x:c r="H13" s="10"/>
      <x:c r="I13" s="10" t="str">
        <x:f>IF(A13="","",IF(OR(G13="",H13=""),"",G13*H13))</x:f>
      </x:c>
      <x:c r="J13" s="10"/>
      <x:c r="K13" s="10"/>
      <x:c r="L13" s="10"/>
      <x:c r="M13" s="11"/>
    </x:row>
    <x:row r="14" ht="22" customHeight="1">
      <x:c r="A14" s="10"/>
      <x:c r="B14" s="10"/>
      <x:c r="C14" s="10"/>
      <x:c r="D14" s="10"/>
      <x:c r="E14" s="10"/>
      <x:c r="F14" s="10"/>
      <x:c r="G14" s="10"/>
      <x:c r="H14" s="10"/>
      <x:c r="I14" s="10" t="str">
        <x:f>IF(A14="","",IF(OR(G14="",H14=""),"",G14*H14))</x:f>
      </x:c>
      <x:c r="J14" s="10"/>
      <x:c r="K14" s="10"/>
      <x:c r="L14" s="10"/>
      <x:c r="M14" s="11"/>
    </x:row>
    <x:row r="15" ht="22" customHeight="1">
      <x:c r="A15" s="10"/>
      <x:c r="B15" s="10"/>
      <x:c r="C15" s="10"/>
      <x:c r="D15" s="10"/>
      <x:c r="E15" s="10"/>
      <x:c r="F15" s="10"/>
      <x:c r="G15" s="10"/>
      <x:c r="H15" s="10"/>
      <x:c r="I15" s="10" t="str">
        <x:f>IF(A15="","",IF(OR(G15="",H15=""),"",G15*H15))</x:f>
      </x:c>
      <x:c r="J15" s="10"/>
      <x:c r="K15" s="10"/>
      <x:c r="L15" s="10"/>
      <x:c r="M15" s="11"/>
    </x:row>
    <x:row r="16" ht="22" customHeight="1">
      <x:c r="A16" s="10"/>
      <x:c r="B16" s="10"/>
      <x:c r="C16" s="10"/>
      <x:c r="D16" s="10"/>
      <x:c r="E16" s="10"/>
      <x:c r="F16" s="10"/>
      <x:c r="G16" s="10"/>
      <x:c r="H16" s="10"/>
      <x:c r="I16" s="10" t="str">
        <x:f>IF(A16="","",IF(OR(G16="",H16=""),"",G16*H16))</x:f>
      </x:c>
      <x:c r="J16" s="10"/>
      <x:c r="K16" s="10"/>
      <x:c r="L16" s="10"/>
      <x:c r="M16" s="11"/>
    </x:row>
    <x:row r="17" ht="22" customHeight="1">
      <x:c r="A17" s="10"/>
      <x:c r="B17" s="10"/>
      <x:c r="C17" s="10"/>
      <x:c r="D17" s="10"/>
      <x:c r="E17" s="10"/>
      <x:c r="F17" s="10"/>
      <x:c r="G17" s="10"/>
      <x:c r="H17" s="10"/>
      <x:c r="I17" s="10" t="str">
        <x:f>IF(A17="","",IF(OR(G17="",H17=""),"",G17*H17))</x:f>
      </x:c>
      <x:c r="J17" s="10"/>
      <x:c r="K17" s="10"/>
      <x:c r="L17" s="10"/>
      <x:c r="M17" s="11"/>
    </x:row>
    <x:row r="18" ht="22" customHeight="1">
      <x:c r="A18" s="10"/>
      <x:c r="B18" s="10"/>
      <x:c r="C18" s="10"/>
      <x:c r="D18" s="10"/>
      <x:c r="E18" s="10"/>
      <x:c r="F18" s="10"/>
      <x:c r="G18" s="10"/>
      <x:c r="H18" s="10"/>
      <x:c r="I18" s="10" t="str">
        <x:f>IF(A18="","",IF(OR(G18="",H18=""),"",G18*H18))</x:f>
      </x:c>
      <x:c r="J18" s="10"/>
      <x:c r="K18" s="10"/>
      <x:c r="L18" s="10"/>
      <x:c r="M18" s="11"/>
    </x:row>
    <x:row r="19" ht="22" customHeight="1">
      <x:c r="A19" s="10"/>
      <x:c r="B19" s="10"/>
      <x:c r="C19" s="10"/>
      <x:c r="D19" s="10"/>
      <x:c r="E19" s="10"/>
      <x:c r="F19" s="10"/>
      <x:c r="G19" s="10"/>
      <x:c r="H19" s="10"/>
      <x:c r="I19" s="10" t="str">
        <x:f>IF(A19="","",IF(OR(G19="",H19=""),"",G19*H19))</x:f>
      </x:c>
      <x:c r="J19" s="10"/>
      <x:c r="K19" s="10"/>
      <x:c r="L19" s="10"/>
      <x:c r="M19" s="11"/>
    </x:row>
    <x:row r="20" ht="22" customHeight="1">
      <x:c r="A20" s="10"/>
      <x:c r="B20" s="10"/>
      <x:c r="C20" s="10"/>
      <x:c r="D20" s="10"/>
      <x:c r="E20" s="10"/>
      <x:c r="F20" s="10"/>
      <x:c r="G20" s="10"/>
      <x:c r="H20" s="10"/>
      <x:c r="I20" s="10" t="str">
        <x:f>IF(A20="","",IF(OR(G20="",H20=""),"",G20*H20))</x:f>
      </x:c>
      <x:c r="J20" s="10"/>
      <x:c r="K20" s="10"/>
      <x:c r="L20" s="10"/>
      <x:c r="M20" s="11"/>
    </x:row>
    <x:row r="21" ht="22" customHeight="1">
      <x:c r="A21" s="10"/>
      <x:c r="B21" s="10"/>
      <x:c r="C21" s="10"/>
      <x:c r="D21" s="10"/>
      <x:c r="E21" s="10"/>
      <x:c r="F21" s="10"/>
      <x:c r="G21" s="10"/>
      <x:c r="H21" s="10"/>
      <x:c r="I21" s="10" t="str">
        <x:f>IF(A21="","",IF(OR(G21="",H21=""),"",G21*H21))</x:f>
      </x:c>
      <x:c r="J21" s="10"/>
      <x:c r="K21" s="10"/>
      <x:c r="L21" s="10"/>
      <x:c r="M21" s="11"/>
    </x:row>
    <x:row r="22" ht="22" customHeight="1">
      <x:c r="A22" s="10"/>
      <x:c r="B22" s="10"/>
      <x:c r="C22" s="10"/>
      <x:c r="D22" s="10"/>
      <x:c r="E22" s="10"/>
      <x:c r="F22" s="10"/>
      <x:c r="G22" s="10"/>
      <x:c r="H22" s="10"/>
      <x:c r="I22" s="10" t="str">
        <x:f>IF(A22="","",IF(OR(G22="",H22=""),"",G22*H22))</x:f>
      </x:c>
      <x:c r="J22" s="10"/>
      <x:c r="K22" s="10"/>
      <x:c r="L22" s="10"/>
      <x:c r="M22" s="11"/>
    </x:row>
    <x:row r="23" ht="22" customHeight="1">
      <x:c r="A23" s="10"/>
      <x:c r="B23" s="10"/>
      <x:c r="C23" s="10"/>
      <x:c r="D23" s="10"/>
      <x:c r="E23" s="10"/>
      <x:c r="F23" s="10"/>
      <x:c r="G23" s="10"/>
      <x:c r="H23" s="10"/>
      <x:c r="I23" s="10" t="str">
        <x:f>IF(A23="","",IF(OR(G23="",H23=""),"",G23*H23))</x:f>
      </x:c>
      <x:c r="J23" s="10"/>
      <x:c r="K23" s="10"/>
      <x:c r="L23" s="10"/>
      <x:c r="M23" s="11"/>
    </x:row>
    <x:row r="24" ht="22" customHeight="1">
      <x:c r="A24" s="10"/>
      <x:c r="B24" s="10"/>
      <x:c r="C24" s="10"/>
      <x:c r="D24" s="10"/>
      <x:c r="E24" s="10"/>
      <x:c r="F24" s="10"/>
      <x:c r="G24" s="10"/>
      <x:c r="H24" s="10"/>
      <x:c r="I24" s="10" t="str">
        <x:f>IF(A24="","",IF(OR(G24="",H24=""),"",G24*H24))</x:f>
      </x:c>
      <x:c r="J24" s="10"/>
      <x:c r="K24" s="10"/>
      <x:c r="L24" s="10"/>
      <x:c r="M24" s="11"/>
    </x:row>
    <x:row r="25" ht="22" customHeight="1">
      <x:c r="A25" s="10"/>
      <x:c r="B25" s="10"/>
      <x:c r="C25" s="10"/>
      <x:c r="D25" s="10"/>
      <x:c r="E25" s="10"/>
      <x:c r="F25" s="10"/>
      <x:c r="G25" s="10"/>
      <x:c r="H25" s="10"/>
      <x:c r="I25" s="10" t="str">
        <x:f>IF(A25="","",IF(OR(G25="",H25=""),"",G25*H25))</x:f>
      </x:c>
      <x:c r="J25" s="10"/>
      <x:c r="K25" s="10"/>
      <x:c r="L25" s="10"/>
      <x:c r="M25" s="11"/>
    </x:row>
    <x:row r="26" ht="22" customHeight="1">
      <x:c r="A26" s="10"/>
      <x:c r="B26" s="10"/>
      <x:c r="C26" s="10"/>
      <x:c r="D26" s="10"/>
      <x:c r="E26" s="10"/>
      <x:c r="F26" s="10"/>
      <x:c r="G26" s="10"/>
      <x:c r="H26" s="10"/>
      <x:c r="I26" s="10" t="str">
        <x:f>IF(A26="","",IF(OR(G26="",H26=""),"",G26*H26))</x:f>
      </x:c>
      <x:c r="J26" s="10"/>
      <x:c r="K26" s="10"/>
      <x:c r="L26" s="10"/>
      <x:c r="M26" s="11"/>
    </x:row>
    <x:row r="27" ht="22" customHeight="1">
      <x:c r="A27" s="10"/>
      <x:c r="B27" s="10"/>
      <x:c r="C27" s="10"/>
      <x:c r="D27" s="10"/>
      <x:c r="E27" s="10"/>
      <x:c r="F27" s="10"/>
      <x:c r="G27" s="10"/>
      <x:c r="H27" s="10"/>
      <x:c r="I27" s="10" t="str">
        <x:f>IF(A27="","",IF(OR(G27="",H27=""),"",G27*H27))</x:f>
      </x:c>
      <x:c r="J27" s="10"/>
      <x:c r="K27" s="10"/>
      <x:c r="L27" s="10"/>
      <x:c r="M27" s="11"/>
    </x:row>
    <x:row r="28" ht="22" customHeight="1">
      <x:c r="A28" s="10"/>
      <x:c r="B28" s="10"/>
      <x:c r="C28" s="10"/>
      <x:c r="D28" s="10"/>
      <x:c r="E28" s="10"/>
      <x:c r="F28" s="10"/>
      <x:c r="G28" s="10"/>
      <x:c r="H28" s="10"/>
      <x:c r="I28" s="10" t="str">
        <x:f>IF(A28="","",IF(OR(G28="",H28=""),"",G28*H28))</x:f>
      </x:c>
      <x:c r="J28" s="10"/>
      <x:c r="K28" s="10"/>
      <x:c r="L28" s="10"/>
      <x:c r="M28" s="11"/>
    </x:row>
    <x:row r="29" ht="22" customHeight="1">
      <x:c r="A29" s="10"/>
      <x:c r="B29" s="10"/>
      <x:c r="C29" s="10"/>
      <x:c r="D29" s="10"/>
      <x:c r="E29" s="10"/>
      <x:c r="F29" s="10"/>
      <x:c r="G29" s="10"/>
      <x:c r="H29" s="10"/>
      <x:c r="I29" s="10" t="str">
        <x:f>IF(A29="","",IF(OR(G29="",H29=""),"",G29*H29))</x:f>
      </x:c>
      <x:c r="J29" s="10"/>
      <x:c r="K29" s="10"/>
      <x:c r="L29" s="10"/>
      <x:c r="M29" s="11"/>
    </x:row>
    <x:row r="30" ht="22" customHeight="1">
      <x:c r="A30" s="10"/>
      <x:c r="B30" s="10"/>
      <x:c r="C30" s="10"/>
      <x:c r="D30" s="10"/>
      <x:c r="E30" s="10"/>
      <x:c r="F30" s="10"/>
      <x:c r="G30" s="10"/>
      <x:c r="H30" s="10"/>
      <x:c r="I30" s="10" t="str">
        <x:f>IF(A30="","",IF(OR(G30="",H30=""),"",G30*H30))</x:f>
      </x:c>
      <x:c r="J30" s="10"/>
      <x:c r="K30" s="10"/>
      <x:c r="L30" s="10"/>
      <x:c r="M30" s="11"/>
    </x:row>
    <x:row r="31" ht="22" customHeight="1">
      <x:c r="A31" s="10"/>
      <x:c r="B31" s="10"/>
      <x:c r="C31" s="10"/>
      <x:c r="D31" s="10"/>
      <x:c r="E31" s="10"/>
      <x:c r="F31" s="10"/>
      <x:c r="G31" s="10"/>
      <x:c r="H31" s="10"/>
      <x:c r="I31" s="10" t="str">
        <x:f>IF(A31="","",IF(OR(G31="",H31=""),"",G31*H31))</x:f>
      </x:c>
      <x:c r="J31" s="10"/>
      <x:c r="K31" s="10"/>
      <x:c r="L31" s="10"/>
      <x:c r="M31" s="11"/>
    </x:row>
    <x:row r="32" ht="22" customHeight="1">
      <x:c r="A32" s="10"/>
      <x:c r="B32" s="10"/>
      <x:c r="C32" s="10"/>
      <x:c r="D32" s="10"/>
      <x:c r="E32" s="10"/>
      <x:c r="F32" s="10"/>
      <x:c r="G32" s="10"/>
      <x:c r="H32" s="10"/>
      <x:c r="I32" s="10" t="str">
        <x:f>IF(A32="","",IF(OR(G32="",H32=""),"",G32*H32))</x:f>
      </x:c>
      <x:c r="J32" s="10"/>
      <x:c r="K32" s="10"/>
      <x:c r="L32" s="10"/>
      <x:c r="M32" s="11"/>
    </x:row>
    <x:row r="33" ht="22" customHeight="1">
      <x:c r="A33" s="10"/>
      <x:c r="B33" s="10"/>
      <x:c r="C33" s="10"/>
      <x:c r="D33" s="10"/>
      <x:c r="E33" s="10"/>
      <x:c r="F33" s="10"/>
      <x:c r="G33" s="10"/>
      <x:c r="H33" s="10"/>
      <x:c r="I33" s="10" t="str">
        <x:f>IF(A33="","",IF(OR(G33="",H33=""),"",G33*H33))</x:f>
      </x:c>
      <x:c r="J33" s="10"/>
      <x:c r="K33" s="10"/>
      <x:c r="L33" s="10"/>
      <x:c r="M33" s="11"/>
    </x:row>
    <x:row r="34" ht="22" customHeight="1">
      <x:c r="A34" s="10"/>
      <x:c r="B34" s="10"/>
      <x:c r="C34" s="10"/>
      <x:c r="D34" s="10"/>
      <x:c r="E34" s="10"/>
      <x:c r="F34" s="10"/>
      <x:c r="G34" s="10"/>
      <x:c r="H34" s="10"/>
      <x:c r="I34" s="10" t="str">
        <x:f>IF(A34="","",IF(OR(G34="",H34=""),"",G34*H34))</x:f>
      </x:c>
      <x:c r="J34" s="10"/>
      <x:c r="K34" s="10"/>
      <x:c r="L34" s="10"/>
      <x:c r="M34" s="11"/>
    </x:row>
    <x:row r="35" ht="22" customHeight="1">
      <x:c r="A35" s="10"/>
      <x:c r="B35" s="10"/>
      <x:c r="C35" s="10"/>
      <x:c r="D35" s="10"/>
      <x:c r="E35" s="10"/>
      <x:c r="F35" s="10"/>
      <x:c r="G35" s="10"/>
      <x:c r="H35" s="10"/>
      <x:c r="I35" s="10" t="str">
        <x:f>IF(A35="","",IF(OR(G35="",H35=""),"",G35*H35))</x:f>
      </x:c>
      <x:c r="J35" s="10"/>
      <x:c r="K35" s="10"/>
      <x:c r="L35" s="10"/>
      <x:c r="M35" s="11"/>
    </x:row>
    <x:row r="36" ht="22" customHeight="1">
      <x:c r="A36" s="10"/>
      <x:c r="B36" s="10"/>
      <x:c r="C36" s="10"/>
      <x:c r="D36" s="10"/>
      <x:c r="E36" s="10"/>
      <x:c r="F36" s="10"/>
      <x:c r="G36" s="10"/>
      <x:c r="H36" s="10"/>
      <x:c r="I36" s="10" t="str">
        <x:f>IF(A36="","",IF(OR(G36="",H36=""),"",G36*H36))</x:f>
      </x:c>
      <x:c r="J36" s="10"/>
      <x:c r="K36" s="10"/>
      <x:c r="L36" s="10"/>
      <x:c r="M36" s="11"/>
    </x:row>
    <x:row r="37" ht="22" customHeight="1">
      <x:c r="A37" s="10"/>
      <x:c r="B37" s="10"/>
      <x:c r="C37" s="10"/>
      <x:c r="D37" s="10"/>
      <x:c r="E37" s="10"/>
      <x:c r="F37" s="10"/>
      <x:c r="G37" s="10"/>
      <x:c r="H37" s="10"/>
      <x:c r="I37" s="10" t="str">
        <x:f>IF(A37="","",IF(OR(G37="",H37=""),"",G37*H37))</x:f>
      </x:c>
      <x:c r="J37" s="10"/>
      <x:c r="K37" s="10"/>
      <x:c r="L37" s="10"/>
      <x:c r="M37" s="11"/>
    </x:row>
    <x:row r="38" ht="22" customHeight="1">
      <x:c r="A38" s="10"/>
      <x:c r="B38" s="10"/>
      <x:c r="C38" s="10"/>
      <x:c r="D38" s="10"/>
      <x:c r="E38" s="10"/>
      <x:c r="F38" s="10"/>
      <x:c r="G38" s="10"/>
      <x:c r="H38" s="10"/>
      <x:c r="I38" s="10" t="str">
        <x:f>IF(A38="","",IF(OR(G38="",H38=""),"",G38*H38))</x:f>
      </x:c>
      <x:c r="J38" s="10"/>
      <x:c r="K38" s="10"/>
      <x:c r="L38" s="10"/>
      <x:c r="M38" s="11"/>
    </x:row>
    <x:row r="39" ht="22" customHeight="1">
      <x:c r="A39" s="10"/>
      <x:c r="B39" s="10"/>
      <x:c r="C39" s="10"/>
      <x:c r="D39" s="10"/>
      <x:c r="E39" s="10"/>
      <x:c r="F39" s="10"/>
      <x:c r="G39" s="10"/>
      <x:c r="H39" s="10"/>
      <x:c r="I39" s="10" t="str">
        <x:f>IF(A39="","",IF(OR(G39="",H39=""),"",G39*H39))</x:f>
      </x:c>
      <x:c r="J39" s="10"/>
      <x:c r="K39" s="10"/>
      <x:c r="L39" s="10"/>
      <x:c r="M39" s="11"/>
    </x:row>
    <x:row r="40" ht="22" customHeight="1">
      <x:c r="A40" s="10"/>
      <x:c r="B40" s="10"/>
      <x:c r="C40" s="10"/>
      <x:c r="D40" s="10"/>
      <x:c r="E40" s="10"/>
      <x:c r="F40" s="10"/>
      <x:c r="G40" s="10"/>
      <x:c r="H40" s="10"/>
      <x:c r="I40" s="10" t="str">
        <x:f>IF(A40="","",IF(OR(G40="",H40=""),"",G40*H40))</x:f>
      </x:c>
      <x:c r="J40" s="10"/>
      <x:c r="K40" s="10"/>
      <x:c r="L40" s="10"/>
      <x:c r="M40" s="11"/>
    </x:row>
    <x:row r="41" ht="22" customHeight="1">
      <x:c r="A41" s="10"/>
      <x:c r="B41" s="10"/>
      <x:c r="C41" s="10"/>
      <x:c r="D41" s="10"/>
      <x:c r="E41" s="10"/>
      <x:c r="F41" s="10"/>
      <x:c r="G41" s="10"/>
      <x:c r="H41" s="10"/>
      <x:c r="I41" s="10" t="str">
        <x:f>IF(A41="","",IF(OR(G41="",H41=""),"",G41*H41))</x:f>
      </x:c>
      <x:c r="J41" s="10"/>
      <x:c r="K41" s="10"/>
      <x:c r="L41" s="10"/>
      <x:c r="M41" s="11"/>
    </x:row>
    <x:row r="42" ht="22" customHeight="1">
      <x:c r="A42" s="10"/>
      <x:c r="B42" s="10"/>
      <x:c r="C42" s="10"/>
      <x:c r="D42" s="10"/>
      <x:c r="E42" s="10"/>
      <x:c r="F42" s="10"/>
      <x:c r="G42" s="10"/>
      <x:c r="H42" s="10"/>
      <x:c r="I42" s="10" t="str">
        <x:f>IF(A42="","",IF(OR(G42="",H42=""),"",G42*H42))</x:f>
      </x:c>
      <x:c r="J42" s="10"/>
      <x:c r="K42" s="10"/>
      <x:c r="L42" s="10"/>
      <x:c r="M42" s="11"/>
    </x:row>
    <x:row r="43" ht="22" customHeight="1">
      <x:c r="A43" s="10"/>
      <x:c r="B43" s="10"/>
      <x:c r="C43" s="10"/>
      <x:c r="D43" s="10"/>
      <x:c r="E43" s="10"/>
      <x:c r="F43" s="10"/>
      <x:c r="G43" s="10"/>
      <x:c r="H43" s="10"/>
      <x:c r="I43" s="10" t="str">
        <x:f>IF(A43="","",IF(OR(G43="",H43=""),"",G43*H43))</x:f>
      </x:c>
      <x:c r="J43" s="10"/>
      <x:c r="K43" s="10"/>
      <x:c r="L43" s="10"/>
      <x:c r="M43" s="11"/>
    </x:row>
    <x:row r="44" ht="22" customHeight="1">
      <x:c r="A44" s="10"/>
      <x:c r="B44" s="10"/>
      <x:c r="C44" s="10"/>
      <x:c r="D44" s="10"/>
      <x:c r="E44" s="10"/>
      <x:c r="F44" s="10"/>
      <x:c r="G44" s="10"/>
      <x:c r="H44" s="10"/>
      <x:c r="I44" s="10" t="str">
        <x:f>IF(A44="","",IF(OR(G44="",H44=""),"",G44*H44))</x:f>
      </x:c>
      <x:c r="J44" s="10"/>
      <x:c r="K44" s="10"/>
      <x:c r="L44" s="10"/>
      <x:c r="M44" s="11"/>
    </x:row>
    <x:row r="45" ht="22" customHeight="1">
      <x:c r="A45" s="10"/>
      <x:c r="B45" s="10"/>
      <x:c r="C45" s="10"/>
      <x:c r="D45" s="10"/>
      <x:c r="E45" s="10"/>
      <x:c r="F45" s="10"/>
      <x:c r="G45" s="10"/>
      <x:c r="H45" s="10"/>
      <x:c r="I45" s="10" t="str">
        <x:f>IF(A45="","",IF(OR(G45="",H45=""),"",G45*H45))</x:f>
      </x:c>
      <x:c r="J45" s="10"/>
      <x:c r="K45" s="10"/>
      <x:c r="L45" s="10"/>
      <x:c r="M45" s="11"/>
    </x:row>
    <x:row r="46" ht="22" customHeight="1">
      <x:c r="A46" s="10"/>
      <x:c r="B46" s="10"/>
      <x:c r="C46" s="10"/>
      <x:c r="D46" s="10"/>
      <x:c r="E46" s="10"/>
      <x:c r="F46" s="10"/>
      <x:c r="G46" s="10"/>
      <x:c r="H46" s="10"/>
      <x:c r="I46" s="10" t="str">
        <x:f>IF(A46="","",IF(OR(G46="",H46=""),"",G46*H46))</x:f>
      </x:c>
      <x:c r="J46" s="10"/>
      <x:c r="K46" s="10"/>
      <x:c r="L46" s="10"/>
      <x:c r="M46" s="11"/>
    </x:row>
    <x:row r="47" ht="22" customHeight="1">
      <x:c r="A47" s="10"/>
      <x:c r="B47" s="10"/>
      <x:c r="C47" s="10"/>
      <x:c r="D47" s="10"/>
      <x:c r="E47" s="10"/>
      <x:c r="F47" s="10"/>
      <x:c r="G47" s="10"/>
      <x:c r="H47" s="10"/>
      <x:c r="I47" s="10" t="str">
        <x:f>IF(A47="","",IF(OR(G47="",H47=""),"",G47*H47))</x:f>
      </x:c>
      <x:c r="J47" s="10"/>
      <x:c r="K47" s="10"/>
      <x:c r="L47" s="10"/>
      <x:c r="M47" s="11"/>
    </x:row>
    <x:row r="48" ht="22" customHeight="1">
      <x:c r="A48" s="10"/>
      <x:c r="B48" s="10"/>
      <x:c r="C48" s="10"/>
      <x:c r="D48" s="10"/>
      <x:c r="E48" s="10"/>
      <x:c r="F48" s="10"/>
      <x:c r="G48" s="10"/>
      <x:c r="H48" s="10"/>
      <x:c r="I48" s="10" t="str">
        <x:f>IF(A48="","",IF(OR(G48="",H48=""),"",G48*H48))</x:f>
      </x:c>
      <x:c r="J48" s="10"/>
      <x:c r="K48" s="10"/>
      <x:c r="L48" s="10"/>
      <x:c r="M48" s="11"/>
    </x:row>
    <x:row r="49" ht="22" customHeight="1">
      <x:c r="A49" s="10"/>
      <x:c r="B49" s="10"/>
      <x:c r="C49" s="10"/>
      <x:c r="D49" s="10"/>
      <x:c r="E49" s="10"/>
      <x:c r="F49" s="10"/>
      <x:c r="G49" s="10"/>
      <x:c r="H49" s="10"/>
      <x:c r="I49" s="10" t="str">
        <x:f>IF(A49="","",IF(OR(G49="",H49=""),"",G49*H49))</x:f>
      </x:c>
      <x:c r="J49" s="10"/>
      <x:c r="K49" s="10"/>
      <x:c r="L49" s="10"/>
      <x:c r="M49" s="11"/>
    </x:row>
    <x:row r="50" ht="22" customHeight="1">
      <x:c r="A50" s="10"/>
      <x:c r="B50" s="10"/>
      <x:c r="C50" s="10"/>
      <x:c r="D50" s="10"/>
      <x:c r="E50" s="10"/>
      <x:c r="F50" s="10"/>
      <x:c r="G50" s="10"/>
      <x:c r="H50" s="10"/>
      <x:c r="I50" s="10" t="str">
        <x:f>IF(A50="","",IF(OR(G50="",H50=""),"",G50*H50))</x:f>
      </x:c>
      <x:c r="J50" s="10"/>
      <x:c r="K50" s="10"/>
      <x:c r="L50" s="10"/>
      <x:c r="M50" s="11"/>
    </x:row>
    <x:row r="51" ht="22" customHeight="1">
      <x:c r="A51" s="10"/>
      <x:c r="B51" s="10"/>
      <x:c r="C51" s="10"/>
      <x:c r="D51" s="10"/>
      <x:c r="E51" s="10"/>
      <x:c r="F51" s="10"/>
      <x:c r="G51" s="10"/>
      <x:c r="H51" s="10"/>
      <x:c r="I51" s="10" t="str">
        <x:f>IF(A51="","",IF(OR(G51="",H51=""),"",G51*H51))</x:f>
      </x:c>
      <x:c r="J51" s="10"/>
      <x:c r="K51" s="10"/>
      <x:c r="L51" s="10"/>
      <x:c r="M51" s="11"/>
    </x:row>
    <x:row r="52" ht="22" customHeight="1">
      <x:c r="A52" s="10"/>
      <x:c r="B52" s="10"/>
      <x:c r="C52" s="10"/>
      <x:c r="D52" s="10"/>
      <x:c r="E52" s="10"/>
      <x:c r="F52" s="10"/>
      <x:c r="G52" s="10"/>
      <x:c r="H52" s="10"/>
      <x:c r="I52" s="10" t="str">
        <x:f>IF(A52="","",IF(OR(G52="",H52=""),"",G52*H52))</x:f>
      </x:c>
      <x:c r="J52" s="10"/>
      <x:c r="K52" s="10"/>
      <x:c r="L52" s="10"/>
      <x:c r="M52" s="11"/>
    </x:row>
    <x:row r="53" ht="22" customHeight="1">
      <x:c r="A53" s="10"/>
      <x:c r="B53" s="10"/>
      <x:c r="C53" s="10"/>
      <x:c r="D53" s="10"/>
      <x:c r="E53" s="10"/>
      <x:c r="F53" s="10"/>
      <x:c r="G53" s="10"/>
      <x:c r="H53" s="10"/>
      <x:c r="I53" s="10" t="str">
        <x:f>IF(A53="","",IF(OR(G53="",H53=""),"",G53*H53))</x:f>
      </x:c>
      <x:c r="J53" s="10"/>
      <x:c r="K53" s="10"/>
      <x:c r="L53" s="10"/>
      <x:c r="M53" s="11"/>
    </x:row>
    <x:row r="54" ht="22" customHeight="1">
      <x:c r="A54" s="10"/>
      <x:c r="B54" s="10"/>
      <x:c r="C54" s="10"/>
      <x:c r="D54" s="10"/>
      <x:c r="E54" s="10"/>
      <x:c r="F54" s="10"/>
      <x:c r="G54" s="10"/>
      <x:c r="H54" s="10"/>
      <x:c r="I54" s="10" t="str">
        <x:f>IF(A54="","",IF(OR(G54="",H54=""),"",G54*H54))</x:f>
      </x:c>
      <x:c r="J54" s="10"/>
      <x:c r="K54" s="10"/>
      <x:c r="L54" s="10"/>
      <x:c r="M54" s="11"/>
    </x:row>
    <x:row r="55" ht="22" customHeight="1">
      <x:c r="A55" s="10"/>
      <x:c r="B55" s="10"/>
      <x:c r="C55" s="10"/>
      <x:c r="D55" s="10"/>
      <x:c r="E55" s="10"/>
      <x:c r="F55" s="10"/>
      <x:c r="G55" s="10"/>
      <x:c r="H55" s="10"/>
      <x:c r="I55" s="10" t="str">
        <x:f>IF(A55="","",IF(OR(G55="",H55=""),"",G55*H55))</x:f>
      </x:c>
      <x:c r="J55" s="10"/>
      <x:c r="K55" s="10"/>
      <x:c r="L55" s="10"/>
      <x:c r="M55" s="11"/>
    </x:row>
    <x:row r="56" ht="22" customHeight="1">
      <x:c r="A56" s="10"/>
      <x:c r="B56" s="10"/>
      <x:c r="C56" s="10"/>
      <x:c r="D56" s="10"/>
      <x:c r="E56" s="10"/>
      <x:c r="F56" s="10"/>
      <x:c r="G56" s="10"/>
      <x:c r="H56" s="10"/>
      <x:c r="I56" s="10" t="str">
        <x:f>IF(A56="","",IF(OR(G56="",H56=""),"",G56*H56))</x:f>
      </x:c>
      <x:c r="J56" s="10"/>
      <x:c r="K56" s="10"/>
      <x:c r="L56" s="10"/>
      <x:c r="M56" s="11"/>
    </x:row>
    <x:row r="57" ht="22" customHeight="1">
      <x:c r="A57" s="10"/>
      <x:c r="B57" s="10"/>
      <x:c r="C57" s="10"/>
      <x:c r="D57" s="10"/>
      <x:c r="E57" s="10"/>
      <x:c r="F57" s="10"/>
      <x:c r="G57" s="10"/>
      <x:c r="H57" s="10"/>
      <x:c r="I57" s="10" t="str">
        <x:f>IF(A57="","",IF(OR(G57="",H57=""),"",G57*H57))</x:f>
      </x:c>
      <x:c r="J57" s="10"/>
      <x:c r="K57" s="10"/>
      <x:c r="L57" s="10"/>
      <x:c r="M57" s="11"/>
    </x:row>
    <x:row r="60">
      <x:c r="A60" t="str">
        <x:v>Scoring: illustrative likelihood x impact. Each scale is 1 (low) to 5 (high). No formal rating thresholds are defined.</x:v>
      </x:c>
    </x:row>
  </x:sheetData>
  <x:dataValidations count="2">
    <x:dataValidation type="whole" operator="between" sqref="G8:H57">
      <x:formula1>1</x:formula1>
      <x:formula2>5</x:formula2>
    </x:dataValidation>
    <x:dataValidation type="list" sqref="L8:L57">
      <x:formula1>"Open,In progress,Closed"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e7b7031c704d0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2" hidden="0" customWidth="1"/>
    <x:col min="2" max="2" width="23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38" hidden="0" customWidth="1"/>
    <x:col min="12" max="12" width="38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2" t="str">
        <x:v>Vendor comparison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3" t="str">
        <x:v>Portfolio Sample. All vendors and NGN prices are fictional. Total = quantity x unit cost + delivery + tax.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 ht="22" customHeight="1">
      <x:c r="A5" s="1" t="str">
        <x:v>Demo records</x:v>
      </x:c>
      <x:c r="B5" s="1"/>
      <x:c r="C5" s="12" t="n">
        <x:f>COUNTA(A8:A57)</x:f>
        <x:v>3</x:v>
      </x:c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40" customHeight="1">
      <x:c r="A7" s="9" t="str">
        <x:v>Item</x:v>
      </x:c>
      <x:c r="B7" s="9" t="str">
        <x:v>Vendor reference</x:v>
      </x:c>
      <x:c r="C7" s="9" t="str">
        <x:v>Quantity</x:v>
      </x:c>
      <x:c r="D7" s="9" t="str">
        <x:v>Unit cost (NGN)</x:v>
      </x:c>
      <x:c r="E7" s="9" t="str">
        <x:v>Delivery (NGN)</x:v>
      </x:c>
      <x:c r="F7" s="9" t="str">
        <x:v>Tax (NGN)</x:v>
      </x:c>
      <x:c r="G7" s="9" t="str">
        <x:v>Total cost (NGN)</x:v>
      </x:c>
      <x:c r="H7" s="9" t="str">
        <x:v>Warranty months</x:v>
      </x:c>
      <x:c r="I7" s="9" t="str">
        <x:v>Lead time days</x:v>
      </x:c>
      <x:c r="J7" s="9" t="str">
        <x:v>Meets specification</x:v>
      </x:c>
      <x:c r="K7" s="9" t="str">
        <x:v>Support terms</x:v>
      </x:c>
      <x:c r="L7" s="9" t="str">
        <x:v>Decision / notes</x:v>
      </x:c>
    </x:row>
    <x:row r="8" ht="22" customHeight="1">
      <x:c r="A8" s="10" t="str">
        <x:v>Demo laptop specification</x:v>
      </x:c>
      <x:c r="B8" s="10" t="str">
        <x:v>Demo vendor A</x:v>
      </x:c>
      <x:c r="C8" s="10" t="n">
        <x:v>2</x:v>
      </x:c>
      <x:c r="D8" s="15" t="n">
        <x:v>100000</x:v>
      </x:c>
      <x:c r="E8" s="15" t="n">
        <x:v>5000</x:v>
      </x:c>
      <x:c r="F8" s="15" t="n">
        <x:v>15000</x:v>
      </x:c>
      <x:c r="G8" s="15" t="n">
        <x:f>IF(A8="","",IF(OR(C8="",D8="",E8="",F8=""),"",C8*D8+E8+F8))</x:f>
        <x:v>220000</x:v>
      </x:c>
      <x:c r="H8" s="10" t="n">
        <x:v>12</x:v>
      </x:c>
      <x:c r="I8" s="10" t="n">
        <x:v>5</x:v>
      </x:c>
      <x:c r="J8" s="10" t="str">
        <x:v>Yes</x:v>
      </x:c>
      <x:c r="K8" s="10" t="str">
        <x:v>Demo warranty terms</x:v>
      </x:c>
      <x:c r="L8" s="10" t="str">
        <x:v>Illustrative comparison only</x:v>
      </x:c>
    </x:row>
    <x:row r="9" ht="22" customHeight="1">
      <x:c r="A9" s="10" t="str">
        <x:v>Demo laptop specification</x:v>
      </x:c>
      <x:c r="B9" s="10" t="str">
        <x:v>Demo vendor B</x:v>
      </x:c>
      <x:c r="C9" s="10" t="n">
        <x:v>2</x:v>
      </x:c>
      <x:c r="D9" s="15" t="n">
        <x:v>95000</x:v>
      </x:c>
      <x:c r="E9" s="15" t="n">
        <x:v>10000</x:v>
      </x:c>
      <x:c r="F9" s="15" t="n">
        <x:v>14000</x:v>
      </x:c>
      <x:c r="G9" s="15" t="n">
        <x:f>IF(A9="","",IF(OR(C9="",D9="",E9="",F9=""),"",C9*D9+E9+F9))</x:f>
        <x:v>214000</x:v>
      </x:c>
      <x:c r="H9" s="10" t="n">
        <x:v>6</x:v>
      </x:c>
      <x:c r="I9" s="10" t="n">
        <x:v>10</x:v>
      </x:c>
      <x:c r="J9" s="10" t="str">
        <x:v>Partial</x:v>
      </x:c>
      <x:c r="K9" s="10" t="str">
        <x:v>Demo carry-in support</x:v>
      </x:c>
      <x:c r="L9" s="10" t="str">
        <x:v>Clarify missing specification</x:v>
      </x:c>
    </x:row>
    <x:row r="10" ht="22" customHeight="1">
      <x:c r="A10" s="10" t="str">
        <x:v>Demo laptop specification</x:v>
      </x:c>
      <x:c r="B10" s="10" t="str">
        <x:v>Demo vendor C</x:v>
      </x:c>
      <x:c r="C10" s="10" t="n">
        <x:v>2</x:v>
      </x:c>
      <x:c r="D10" s="15" t="n">
        <x:v>110000</x:v>
      </x:c>
      <x:c r="E10" s="15" t="n">
        <x:v>0</x:v>
      </x:c>
      <x:c r="F10" s="15" t="n">
        <x:v>16000</x:v>
      </x:c>
      <x:c r="G10" s="15" t="str">
        <x:f>IF(A10="","",IF(OR(C10="",D10="",E10="",F10=""),"",C10*D10+E10+F10))</x:f>
      </x:c>
      <x:c r="H10" s="10" t="n">
        <x:v>18</x:v>
      </x:c>
      <x:c r="I10" s="10" t="n">
        <x:v>3</x:v>
      </x:c>
      <x:c r="J10" s="10" t="str">
        <x:v>Yes</x:v>
      </x:c>
      <x:c r="K10" s="10" t="str">
        <x:v>Demo service terms</x:v>
      </x:c>
      <x:c r="L10" s="10" t="str">
        <x:v>Illustrative comparison only</x:v>
      </x:c>
    </x:row>
    <x:row r="11" ht="22" customHeight="1">
      <x:c r="A11" s="10"/>
      <x:c r="B11" s="10"/>
      <x:c r="C11" s="10"/>
      <x:c r="D11" s="15"/>
      <x:c r="E11" s="15"/>
      <x:c r="F11" s="15"/>
      <x:c r="G11" s="15" t="str">
        <x:f>IF(A11="","",IF(OR(C11="",D11="",E11="",F11=""),"",C11*D11+E11+F11))</x:f>
      </x:c>
      <x:c r="H11" s="10"/>
      <x:c r="I11" s="10"/>
      <x:c r="J11" s="10"/>
      <x:c r="K11" s="10"/>
      <x:c r="L11" s="10"/>
    </x:row>
    <x:row r="12" ht="22" customHeight="1">
      <x:c r="A12" s="10"/>
      <x:c r="B12" s="10"/>
      <x:c r="C12" s="10"/>
      <x:c r="D12" s="15"/>
      <x:c r="E12" s="15"/>
      <x:c r="F12" s="15"/>
      <x:c r="G12" s="15" t="str">
        <x:f>IF(A12="","",IF(OR(C12="",D12="",E12="",F12=""),"",C12*D12+E12+F12))</x:f>
      </x:c>
      <x:c r="H12" s="10"/>
      <x:c r="I12" s="10"/>
      <x:c r="J12" s="10"/>
      <x:c r="K12" s="10"/>
      <x:c r="L12" s="10"/>
    </x:row>
    <x:row r="13" ht="22" customHeight="1">
      <x:c r="A13" s="10"/>
      <x:c r="B13" s="10"/>
      <x:c r="C13" s="10"/>
      <x:c r="D13" s="15"/>
      <x:c r="E13" s="15"/>
      <x:c r="F13" s="15"/>
      <x:c r="G13" s="15" t="str">
        <x:f>IF(A13="","",IF(OR(C13="",D13="",E13="",F13=""),"",C13*D13+E13+F13))</x:f>
      </x:c>
      <x:c r="H13" s="10"/>
      <x:c r="I13" s="10"/>
      <x:c r="J13" s="10"/>
      <x:c r="K13" s="10"/>
      <x:c r="L13" s="10"/>
    </x:row>
    <x:row r="14" ht="22" customHeight="1">
      <x:c r="A14" s="10"/>
      <x:c r="B14" s="10"/>
      <x:c r="C14" s="10"/>
      <x:c r="D14" s="15"/>
      <x:c r="E14" s="15"/>
      <x:c r="F14" s="15"/>
      <x:c r="G14" s="15" t="str">
        <x:f>IF(A14="","",IF(OR(C14="",D14="",E14="",F14=""),"",C14*D14+E14+F14))</x:f>
      </x:c>
      <x:c r="H14" s="10"/>
      <x:c r="I14" s="10"/>
      <x:c r="J14" s="10"/>
      <x:c r="K14" s="10"/>
      <x:c r="L14" s="10"/>
    </x:row>
    <x:row r="15" ht="22" customHeight="1">
      <x:c r="A15" s="10"/>
      <x:c r="B15" s="10"/>
      <x:c r="C15" s="10"/>
      <x:c r="D15" s="15"/>
      <x:c r="E15" s="15"/>
      <x:c r="F15" s="15"/>
      <x:c r="G15" s="15" t="str">
        <x:f>IF(A15="","",IF(OR(C15="",D15="",E15="",F15=""),"",C15*D15+E15+F15))</x:f>
      </x:c>
      <x:c r="H15" s="10"/>
      <x:c r="I15" s="10"/>
      <x:c r="J15" s="10"/>
      <x:c r="K15" s="10"/>
      <x:c r="L15" s="10"/>
    </x:row>
    <x:row r="16" ht="22" customHeight="1">
      <x:c r="A16" s="10"/>
      <x:c r="B16" s="10"/>
      <x:c r="C16" s="10"/>
      <x:c r="D16" s="15"/>
      <x:c r="E16" s="15"/>
      <x:c r="F16" s="15"/>
      <x:c r="G16" s="15" t="str">
        <x:f>IF(A16="","",IF(OR(C16="",D16="",E16="",F16=""),"",C16*D16+E16+F16))</x:f>
      </x:c>
      <x:c r="H16" s="10"/>
      <x:c r="I16" s="10"/>
      <x:c r="J16" s="10"/>
      <x:c r="K16" s="10"/>
      <x:c r="L16" s="10"/>
    </x:row>
    <x:row r="17" ht="22" customHeight="1">
      <x:c r="A17" s="10"/>
      <x:c r="B17" s="10"/>
      <x:c r="C17" s="10"/>
      <x:c r="D17" s="15"/>
      <x:c r="E17" s="15"/>
      <x:c r="F17" s="15"/>
      <x:c r="G17" s="15" t="str">
        <x:f>IF(A17="","",IF(OR(C17="",D17="",E17="",F17=""),"",C17*D17+E17+F17))</x:f>
      </x:c>
      <x:c r="H17" s="10"/>
      <x:c r="I17" s="10"/>
      <x:c r="J17" s="10"/>
      <x:c r="K17" s="10"/>
      <x:c r="L17" s="10"/>
    </x:row>
    <x:row r="18" ht="22" customHeight="1">
      <x:c r="A18" s="10"/>
      <x:c r="B18" s="10"/>
      <x:c r="C18" s="10"/>
      <x:c r="D18" s="15"/>
      <x:c r="E18" s="15"/>
      <x:c r="F18" s="15"/>
      <x:c r="G18" s="15" t="str">
        <x:f>IF(A18="","",IF(OR(C18="",D18="",E18="",F18=""),"",C18*D18+E18+F18))</x:f>
      </x:c>
      <x:c r="H18" s="10"/>
      <x:c r="I18" s="10"/>
      <x:c r="J18" s="10"/>
      <x:c r="K18" s="10"/>
      <x:c r="L18" s="10"/>
    </x:row>
    <x:row r="19" ht="22" customHeight="1">
      <x:c r="A19" s="10"/>
      <x:c r="B19" s="10"/>
      <x:c r="C19" s="10"/>
      <x:c r="D19" s="15"/>
      <x:c r="E19" s="15"/>
      <x:c r="F19" s="15"/>
      <x:c r="G19" s="15" t="str">
        <x:f>IF(A19="","",IF(OR(C19="",D19="",E19="",F19=""),"",C19*D19+E19+F19))</x:f>
      </x:c>
      <x:c r="H19" s="10"/>
      <x:c r="I19" s="10"/>
      <x:c r="J19" s="10"/>
      <x:c r="K19" s="10"/>
      <x:c r="L19" s="10"/>
    </x:row>
    <x:row r="20" ht="22" customHeight="1">
      <x:c r="A20" s="10"/>
      <x:c r="B20" s="10"/>
      <x:c r="C20" s="10"/>
      <x:c r="D20" s="15"/>
      <x:c r="E20" s="15"/>
      <x:c r="F20" s="15"/>
      <x:c r="G20" s="15" t="str">
        <x:f>IF(A20="","",IF(OR(C20="",D20="",E20="",F20=""),"",C20*D20+E20+F20))</x:f>
      </x:c>
      <x:c r="H20" s="10"/>
      <x:c r="I20" s="10"/>
      <x:c r="J20" s="10"/>
      <x:c r="K20" s="10"/>
      <x:c r="L20" s="10"/>
    </x:row>
    <x:row r="21" ht="22" customHeight="1">
      <x:c r="A21" s="10"/>
      <x:c r="B21" s="10"/>
      <x:c r="C21" s="10"/>
      <x:c r="D21" s="15"/>
      <x:c r="E21" s="15"/>
      <x:c r="F21" s="15"/>
      <x:c r="G21" s="15" t="str">
        <x:f>IF(A21="","",IF(OR(C21="",D21="",E21="",F21=""),"",C21*D21+E21+F21))</x:f>
      </x:c>
      <x:c r="H21" s="10"/>
      <x:c r="I21" s="10"/>
      <x:c r="J21" s="10"/>
      <x:c r="K21" s="10"/>
      <x:c r="L21" s="10"/>
    </x:row>
    <x:row r="22" ht="22" customHeight="1">
      <x:c r="A22" s="10"/>
      <x:c r="B22" s="10"/>
      <x:c r="C22" s="10"/>
      <x:c r="D22" s="15"/>
      <x:c r="E22" s="15"/>
      <x:c r="F22" s="15"/>
      <x:c r="G22" s="15" t="str">
        <x:f>IF(A22="","",IF(OR(C22="",D22="",E22="",F22=""),"",C22*D22+E22+F22))</x:f>
      </x:c>
      <x:c r="H22" s="10"/>
      <x:c r="I22" s="10"/>
      <x:c r="J22" s="10"/>
      <x:c r="K22" s="10"/>
      <x:c r="L22" s="10"/>
    </x:row>
    <x:row r="23" ht="22" customHeight="1">
      <x:c r="A23" s="10"/>
      <x:c r="B23" s="10"/>
      <x:c r="C23" s="10"/>
      <x:c r="D23" s="15"/>
      <x:c r="E23" s="15"/>
      <x:c r="F23" s="15"/>
      <x:c r="G23" s="15" t="str">
        <x:f>IF(A23="","",IF(OR(C23="",D23="",E23="",F23=""),"",C23*D23+E23+F23))</x:f>
      </x:c>
      <x:c r="H23" s="10"/>
      <x:c r="I23" s="10"/>
      <x:c r="J23" s="10"/>
      <x:c r="K23" s="10"/>
      <x:c r="L23" s="10"/>
    </x:row>
    <x:row r="24" ht="22" customHeight="1">
      <x:c r="A24" s="10"/>
      <x:c r="B24" s="10"/>
      <x:c r="C24" s="10"/>
      <x:c r="D24" s="15"/>
      <x:c r="E24" s="15"/>
      <x:c r="F24" s="15"/>
      <x:c r="G24" s="15" t="str">
        <x:f>IF(A24="","",IF(OR(C24="",D24="",E24="",F24=""),"",C24*D24+E24+F24))</x:f>
      </x:c>
      <x:c r="H24" s="10"/>
      <x:c r="I24" s="10"/>
      <x:c r="J24" s="10"/>
      <x:c r="K24" s="10"/>
      <x:c r="L24" s="10"/>
    </x:row>
    <x:row r="25" ht="22" customHeight="1">
      <x:c r="A25" s="10"/>
      <x:c r="B25" s="10"/>
      <x:c r="C25" s="10"/>
      <x:c r="D25" s="15"/>
      <x:c r="E25" s="15"/>
      <x:c r="F25" s="15"/>
      <x:c r="G25" s="15" t="str">
        <x:f>IF(A25="","",IF(OR(C25="",D25="",E25="",F25=""),"",C25*D25+E25+F25))</x:f>
      </x:c>
      <x:c r="H25" s="10"/>
      <x:c r="I25" s="10"/>
      <x:c r="J25" s="10"/>
      <x:c r="K25" s="10"/>
      <x:c r="L25" s="10"/>
    </x:row>
    <x:row r="26" ht="22" customHeight="1">
      <x:c r="A26" s="10"/>
      <x:c r="B26" s="10"/>
      <x:c r="C26" s="10"/>
      <x:c r="D26" s="15"/>
      <x:c r="E26" s="15"/>
      <x:c r="F26" s="15"/>
      <x:c r="G26" s="15" t="str">
        <x:f>IF(A26="","",IF(OR(C26="",D26="",E26="",F26=""),"",C26*D26+E26+F26))</x:f>
      </x:c>
      <x:c r="H26" s="10"/>
      <x:c r="I26" s="10"/>
      <x:c r="J26" s="10"/>
      <x:c r="K26" s="10"/>
      <x:c r="L26" s="10"/>
    </x:row>
    <x:row r="27" ht="22" customHeight="1">
      <x:c r="A27" s="10"/>
      <x:c r="B27" s="10"/>
      <x:c r="C27" s="10"/>
      <x:c r="D27" s="15"/>
      <x:c r="E27" s="15"/>
      <x:c r="F27" s="15"/>
      <x:c r="G27" s="15" t="str">
        <x:f>IF(A27="","",IF(OR(C27="",D27="",E27="",F27=""),"",C27*D27+E27+F27))</x:f>
      </x:c>
      <x:c r="H27" s="10"/>
      <x:c r="I27" s="10"/>
      <x:c r="J27" s="10"/>
      <x:c r="K27" s="10"/>
      <x:c r="L27" s="10"/>
    </x:row>
    <x:row r="28" ht="22" customHeight="1">
      <x:c r="A28" s="10"/>
      <x:c r="B28" s="10"/>
      <x:c r="C28" s="10"/>
      <x:c r="D28" s="15"/>
      <x:c r="E28" s="15"/>
      <x:c r="F28" s="15"/>
      <x:c r="G28" s="15" t="str">
        <x:f>IF(A28="","",IF(OR(C28="",D28="",E28="",F28=""),"",C28*D28+E28+F28))</x:f>
      </x:c>
      <x:c r="H28" s="10"/>
      <x:c r="I28" s="10"/>
      <x:c r="J28" s="10"/>
      <x:c r="K28" s="10"/>
      <x:c r="L28" s="10"/>
    </x:row>
    <x:row r="29" ht="22" customHeight="1">
      <x:c r="A29" s="10"/>
      <x:c r="B29" s="10"/>
      <x:c r="C29" s="10"/>
      <x:c r="D29" s="15"/>
      <x:c r="E29" s="15"/>
      <x:c r="F29" s="15"/>
      <x:c r="G29" s="15" t="str">
        <x:f>IF(A29="","",IF(OR(C29="",D29="",E29="",F29=""),"",C29*D29+E29+F29))</x:f>
      </x:c>
      <x:c r="H29" s="10"/>
      <x:c r="I29" s="10"/>
      <x:c r="J29" s="10"/>
      <x:c r="K29" s="10"/>
      <x:c r="L29" s="10"/>
    </x:row>
    <x:row r="30" ht="22" customHeight="1">
      <x:c r="A30" s="10"/>
      <x:c r="B30" s="10"/>
      <x:c r="C30" s="10"/>
      <x:c r="D30" s="15"/>
      <x:c r="E30" s="15"/>
      <x:c r="F30" s="15"/>
      <x:c r="G30" s="15" t="str">
        <x:f>IF(A30="","",IF(OR(C30="",D30="",E30="",F30=""),"",C30*D30+E30+F30))</x:f>
      </x:c>
      <x:c r="H30" s="10"/>
      <x:c r="I30" s="10"/>
      <x:c r="J30" s="10"/>
      <x:c r="K30" s="10"/>
      <x:c r="L30" s="10"/>
    </x:row>
    <x:row r="31" ht="22" customHeight="1">
      <x:c r="A31" s="10"/>
      <x:c r="B31" s="10"/>
      <x:c r="C31" s="10"/>
      <x:c r="D31" s="15"/>
      <x:c r="E31" s="15"/>
      <x:c r="F31" s="15"/>
      <x:c r="G31" s="15" t="str">
        <x:f>IF(A31="","",IF(OR(C31="",D31="",E31="",F31=""),"",C31*D31+E31+F31))</x:f>
      </x:c>
      <x:c r="H31" s="10"/>
      <x:c r="I31" s="10"/>
      <x:c r="J31" s="10"/>
      <x:c r="K31" s="10"/>
      <x:c r="L31" s="10"/>
    </x:row>
    <x:row r="32" ht="22" customHeight="1">
      <x:c r="A32" s="10"/>
      <x:c r="B32" s="10"/>
      <x:c r="C32" s="10"/>
      <x:c r="D32" s="15"/>
      <x:c r="E32" s="15"/>
      <x:c r="F32" s="15"/>
      <x:c r="G32" s="15" t="str">
        <x:f>IF(A32="","",IF(OR(C32="",D32="",E32="",F32=""),"",C32*D32+E32+F32))</x:f>
      </x:c>
      <x:c r="H32" s="10"/>
      <x:c r="I32" s="10"/>
      <x:c r="J32" s="10"/>
      <x:c r="K32" s="10"/>
      <x:c r="L32" s="10"/>
    </x:row>
    <x:row r="33" ht="22" customHeight="1">
      <x:c r="A33" s="10"/>
      <x:c r="B33" s="10"/>
      <x:c r="C33" s="10"/>
      <x:c r="D33" s="15"/>
      <x:c r="E33" s="15"/>
      <x:c r="F33" s="15"/>
      <x:c r="G33" s="15" t="str">
        <x:f>IF(A33="","",IF(OR(C33="",D33="",E33="",F33=""),"",C33*D33+E33+F33))</x:f>
      </x:c>
      <x:c r="H33" s="10"/>
      <x:c r="I33" s="10"/>
      <x:c r="J33" s="10"/>
      <x:c r="K33" s="10"/>
      <x:c r="L33" s="10"/>
    </x:row>
    <x:row r="34" ht="22" customHeight="1">
      <x:c r="A34" s="10"/>
      <x:c r="B34" s="10"/>
      <x:c r="C34" s="10"/>
      <x:c r="D34" s="15"/>
      <x:c r="E34" s="15"/>
      <x:c r="F34" s="15"/>
      <x:c r="G34" s="15" t="str">
        <x:f>IF(A34="","",IF(OR(C34="",D34="",E34="",F34=""),"",C34*D34+E34+F34))</x:f>
      </x:c>
      <x:c r="H34" s="10"/>
      <x:c r="I34" s="10"/>
      <x:c r="J34" s="10"/>
      <x:c r="K34" s="10"/>
      <x:c r="L34" s="10"/>
    </x:row>
    <x:row r="35" ht="22" customHeight="1">
      <x:c r="A35" s="10"/>
      <x:c r="B35" s="10"/>
      <x:c r="C35" s="10"/>
      <x:c r="D35" s="15"/>
      <x:c r="E35" s="15"/>
      <x:c r="F35" s="15"/>
      <x:c r="G35" s="15" t="str">
        <x:f>IF(A35="","",IF(OR(C35="",D35="",E35="",F35=""),"",C35*D35+E35+F35))</x:f>
      </x:c>
      <x:c r="H35" s="10"/>
      <x:c r="I35" s="10"/>
      <x:c r="J35" s="10"/>
      <x:c r="K35" s="10"/>
      <x:c r="L35" s="10"/>
    </x:row>
    <x:row r="36" ht="22" customHeight="1">
      <x:c r="A36" s="10"/>
      <x:c r="B36" s="10"/>
      <x:c r="C36" s="10"/>
      <x:c r="D36" s="15"/>
      <x:c r="E36" s="15"/>
      <x:c r="F36" s="15"/>
      <x:c r="G36" s="15" t="str">
        <x:f>IF(A36="","",IF(OR(C36="",D36="",E36="",F36=""),"",C36*D36+E36+F36))</x:f>
      </x:c>
      <x:c r="H36" s="10"/>
      <x:c r="I36" s="10"/>
      <x:c r="J36" s="10"/>
      <x:c r="K36" s="10"/>
      <x:c r="L36" s="10"/>
    </x:row>
    <x:row r="37" ht="22" customHeight="1">
      <x:c r="A37" s="10"/>
      <x:c r="B37" s="10"/>
      <x:c r="C37" s="10"/>
      <x:c r="D37" s="15"/>
      <x:c r="E37" s="15"/>
      <x:c r="F37" s="15"/>
      <x:c r="G37" s="15" t="str">
        <x:f>IF(A37="","",IF(OR(C37="",D37="",E37="",F37=""),"",C37*D37+E37+F37))</x:f>
      </x:c>
      <x:c r="H37" s="10"/>
      <x:c r="I37" s="10"/>
      <x:c r="J37" s="10"/>
      <x:c r="K37" s="10"/>
      <x:c r="L37" s="10"/>
    </x:row>
    <x:row r="38" ht="22" customHeight="1">
      <x:c r="A38" s="10"/>
      <x:c r="B38" s="10"/>
      <x:c r="C38" s="10"/>
      <x:c r="D38" s="15"/>
      <x:c r="E38" s="15"/>
      <x:c r="F38" s="15"/>
      <x:c r="G38" s="15" t="str">
        <x:f>IF(A38="","",IF(OR(C38="",D38="",E38="",F38=""),"",C38*D38+E38+F38))</x:f>
      </x:c>
      <x:c r="H38" s="10"/>
      <x:c r="I38" s="10"/>
      <x:c r="J38" s="10"/>
      <x:c r="K38" s="10"/>
      <x:c r="L38" s="10"/>
    </x:row>
    <x:row r="39" ht="22" customHeight="1">
      <x:c r="A39" s="10"/>
      <x:c r="B39" s="10"/>
      <x:c r="C39" s="10"/>
      <x:c r="D39" s="15"/>
      <x:c r="E39" s="15"/>
      <x:c r="F39" s="15"/>
      <x:c r="G39" s="15" t="str">
        <x:f>IF(A39="","",IF(OR(C39="",D39="",E39="",F39=""),"",C39*D39+E39+F39))</x:f>
      </x:c>
      <x:c r="H39" s="10"/>
      <x:c r="I39" s="10"/>
      <x:c r="J39" s="10"/>
      <x:c r="K39" s="10"/>
      <x:c r="L39" s="10"/>
    </x:row>
    <x:row r="40" ht="22" customHeight="1">
      <x:c r="A40" s="10"/>
      <x:c r="B40" s="10"/>
      <x:c r="C40" s="10"/>
      <x:c r="D40" s="15"/>
      <x:c r="E40" s="15"/>
      <x:c r="F40" s="15"/>
      <x:c r="G40" s="15" t="str">
        <x:f>IF(A40="","",IF(OR(C40="",D40="",E40="",F40=""),"",C40*D40+E40+F40))</x:f>
      </x:c>
      <x:c r="H40" s="10"/>
      <x:c r="I40" s="10"/>
      <x:c r="J40" s="10"/>
      <x:c r="K40" s="10"/>
      <x:c r="L40" s="10"/>
    </x:row>
    <x:row r="41" ht="22" customHeight="1">
      <x:c r="A41" s="10"/>
      <x:c r="B41" s="10"/>
      <x:c r="C41" s="10"/>
      <x:c r="D41" s="15"/>
      <x:c r="E41" s="15"/>
      <x:c r="F41" s="15"/>
      <x:c r="G41" s="15" t="str">
        <x:f>IF(A41="","",IF(OR(C41="",D41="",E41="",F41=""),"",C41*D41+E41+F41))</x:f>
      </x:c>
      <x:c r="H41" s="10"/>
      <x:c r="I41" s="10"/>
      <x:c r="J41" s="10"/>
      <x:c r="K41" s="10"/>
      <x:c r="L41" s="10"/>
    </x:row>
    <x:row r="42" ht="22" customHeight="1">
      <x:c r="A42" s="10"/>
      <x:c r="B42" s="10"/>
      <x:c r="C42" s="10"/>
      <x:c r="D42" s="15"/>
      <x:c r="E42" s="15"/>
      <x:c r="F42" s="15"/>
      <x:c r="G42" s="15" t="str">
        <x:f>IF(A42="","",IF(OR(C42="",D42="",E42="",F42=""),"",C42*D42+E42+F42))</x:f>
      </x:c>
      <x:c r="H42" s="10"/>
      <x:c r="I42" s="10"/>
      <x:c r="J42" s="10"/>
      <x:c r="K42" s="10"/>
      <x:c r="L42" s="10"/>
    </x:row>
    <x:row r="43" ht="22" customHeight="1">
      <x:c r="A43" s="10"/>
      <x:c r="B43" s="10"/>
      <x:c r="C43" s="10"/>
      <x:c r="D43" s="15"/>
      <x:c r="E43" s="15"/>
      <x:c r="F43" s="15"/>
      <x:c r="G43" s="15" t="str">
        <x:f>IF(A43="","",IF(OR(C43="",D43="",E43="",F43=""),"",C43*D43+E43+F43))</x:f>
      </x:c>
      <x:c r="H43" s="10"/>
      <x:c r="I43" s="10"/>
      <x:c r="J43" s="10"/>
      <x:c r="K43" s="10"/>
      <x:c r="L43" s="10"/>
    </x:row>
    <x:row r="44" ht="22" customHeight="1">
      <x:c r="A44" s="10"/>
      <x:c r="B44" s="10"/>
      <x:c r="C44" s="10"/>
      <x:c r="D44" s="15"/>
      <x:c r="E44" s="15"/>
      <x:c r="F44" s="15"/>
      <x:c r="G44" s="15" t="str">
        <x:f>IF(A44="","",IF(OR(C44="",D44="",E44="",F44=""),"",C44*D44+E44+F44))</x:f>
      </x:c>
      <x:c r="H44" s="10"/>
      <x:c r="I44" s="10"/>
      <x:c r="J44" s="10"/>
      <x:c r="K44" s="10"/>
      <x:c r="L44" s="10"/>
    </x:row>
    <x:row r="45" ht="22" customHeight="1">
      <x:c r="A45" s="10"/>
      <x:c r="B45" s="10"/>
      <x:c r="C45" s="10"/>
      <x:c r="D45" s="15"/>
      <x:c r="E45" s="15"/>
      <x:c r="F45" s="15"/>
      <x:c r="G45" s="15" t="str">
        <x:f>IF(A45="","",IF(OR(C45="",D45="",E45="",F45=""),"",C45*D45+E45+F45))</x:f>
      </x:c>
      <x:c r="H45" s="10"/>
      <x:c r="I45" s="10"/>
      <x:c r="J45" s="10"/>
      <x:c r="K45" s="10"/>
      <x:c r="L45" s="10"/>
    </x:row>
    <x:row r="46" ht="22" customHeight="1">
      <x:c r="A46" s="10"/>
      <x:c r="B46" s="10"/>
      <x:c r="C46" s="10"/>
      <x:c r="D46" s="15"/>
      <x:c r="E46" s="15"/>
      <x:c r="F46" s="15"/>
      <x:c r="G46" s="15" t="str">
        <x:f>IF(A46="","",IF(OR(C46="",D46="",E46="",F46=""),"",C46*D46+E46+F46))</x:f>
      </x:c>
      <x:c r="H46" s="10"/>
      <x:c r="I46" s="10"/>
      <x:c r="J46" s="10"/>
      <x:c r="K46" s="10"/>
      <x:c r="L46" s="10"/>
    </x:row>
    <x:row r="47" ht="22" customHeight="1">
      <x:c r="A47" s="10"/>
      <x:c r="B47" s="10"/>
      <x:c r="C47" s="10"/>
      <x:c r="D47" s="15"/>
      <x:c r="E47" s="15"/>
      <x:c r="F47" s="15"/>
      <x:c r="G47" s="15" t="str">
        <x:f>IF(A47="","",IF(OR(C47="",D47="",E47="",F47=""),"",C47*D47+E47+F47))</x:f>
      </x:c>
      <x:c r="H47" s="10"/>
      <x:c r="I47" s="10"/>
      <x:c r="J47" s="10"/>
      <x:c r="K47" s="10"/>
      <x:c r="L47" s="10"/>
    </x:row>
    <x:row r="48" ht="22" customHeight="1">
      <x:c r="A48" s="10"/>
      <x:c r="B48" s="10"/>
      <x:c r="C48" s="10"/>
      <x:c r="D48" s="15"/>
      <x:c r="E48" s="15"/>
      <x:c r="F48" s="15"/>
      <x:c r="G48" s="15" t="str">
        <x:f>IF(A48="","",IF(OR(C48="",D48="",E48="",F48=""),"",C48*D48+E48+F48))</x:f>
      </x:c>
      <x:c r="H48" s="10"/>
      <x:c r="I48" s="10"/>
      <x:c r="J48" s="10"/>
      <x:c r="K48" s="10"/>
      <x:c r="L48" s="10"/>
    </x:row>
    <x:row r="49" ht="22" customHeight="1">
      <x:c r="A49" s="10"/>
      <x:c r="B49" s="10"/>
      <x:c r="C49" s="10"/>
      <x:c r="D49" s="15"/>
      <x:c r="E49" s="15"/>
      <x:c r="F49" s="15"/>
      <x:c r="G49" s="15" t="str">
        <x:f>IF(A49="","",IF(OR(C49="",D49="",E49="",F49=""),"",C49*D49+E49+F49))</x:f>
      </x:c>
      <x:c r="H49" s="10"/>
      <x:c r="I49" s="10"/>
      <x:c r="J49" s="10"/>
      <x:c r="K49" s="10"/>
      <x:c r="L49" s="10"/>
    </x:row>
    <x:row r="50" ht="22" customHeight="1">
      <x:c r="A50" s="10"/>
      <x:c r="B50" s="10"/>
      <x:c r="C50" s="10"/>
      <x:c r="D50" s="15"/>
      <x:c r="E50" s="15"/>
      <x:c r="F50" s="15"/>
      <x:c r="G50" s="15" t="str">
        <x:f>IF(A50="","",IF(OR(C50="",D50="",E50="",F50=""),"",C50*D50+E50+F50))</x:f>
      </x:c>
      <x:c r="H50" s="10"/>
      <x:c r="I50" s="10"/>
      <x:c r="J50" s="10"/>
      <x:c r="K50" s="10"/>
      <x:c r="L50" s="10"/>
    </x:row>
    <x:row r="51" ht="22" customHeight="1">
      <x:c r="A51" s="10"/>
      <x:c r="B51" s="10"/>
      <x:c r="C51" s="10"/>
      <x:c r="D51" s="15"/>
      <x:c r="E51" s="15"/>
      <x:c r="F51" s="15"/>
      <x:c r="G51" s="15" t="str">
        <x:f>IF(A51="","",IF(OR(C51="",D51="",E51="",F51=""),"",C51*D51+E51+F51))</x:f>
      </x:c>
      <x:c r="H51" s="10"/>
      <x:c r="I51" s="10"/>
      <x:c r="J51" s="10"/>
      <x:c r="K51" s="10"/>
      <x:c r="L51" s="10"/>
    </x:row>
    <x:row r="52" ht="22" customHeight="1">
      <x:c r="A52" s="10"/>
      <x:c r="B52" s="10"/>
      <x:c r="C52" s="10"/>
      <x:c r="D52" s="15"/>
      <x:c r="E52" s="15"/>
      <x:c r="F52" s="15"/>
      <x:c r="G52" s="15" t="str">
        <x:f>IF(A52="","",IF(OR(C52="",D52="",E52="",F52=""),"",C52*D52+E52+F52))</x:f>
      </x:c>
      <x:c r="H52" s="10"/>
      <x:c r="I52" s="10"/>
      <x:c r="J52" s="10"/>
      <x:c r="K52" s="10"/>
      <x:c r="L52" s="10"/>
    </x:row>
    <x:row r="53" ht="22" customHeight="1">
      <x:c r="A53" s="10"/>
      <x:c r="B53" s="10"/>
      <x:c r="C53" s="10"/>
      <x:c r="D53" s="15"/>
      <x:c r="E53" s="15"/>
      <x:c r="F53" s="15"/>
      <x:c r="G53" s="15" t="str">
        <x:f>IF(A53="","",IF(OR(C53="",D53="",E53="",F53=""),"",C53*D53+E53+F53))</x:f>
      </x:c>
      <x:c r="H53" s="10"/>
      <x:c r="I53" s="10"/>
      <x:c r="J53" s="10"/>
      <x:c r="K53" s="10"/>
      <x:c r="L53" s="10"/>
    </x:row>
    <x:row r="54" ht="22" customHeight="1">
      <x:c r="A54" s="10"/>
      <x:c r="B54" s="10"/>
      <x:c r="C54" s="10"/>
      <x:c r="D54" s="15"/>
      <x:c r="E54" s="15"/>
      <x:c r="F54" s="15"/>
      <x:c r="G54" s="15" t="str">
        <x:f>IF(A54="","",IF(OR(C54="",D54="",E54="",F54=""),"",C54*D54+E54+F54))</x:f>
      </x:c>
      <x:c r="H54" s="10"/>
      <x:c r="I54" s="10"/>
      <x:c r="J54" s="10"/>
      <x:c r="K54" s="10"/>
      <x:c r="L54" s="10"/>
    </x:row>
    <x:row r="55" ht="22" customHeight="1">
      <x:c r="A55" s="10"/>
      <x:c r="B55" s="10"/>
      <x:c r="C55" s="10"/>
      <x:c r="D55" s="15"/>
      <x:c r="E55" s="15"/>
      <x:c r="F55" s="15"/>
      <x:c r="G55" s="15" t="str">
        <x:f>IF(A55="","",IF(OR(C55="",D55="",E55="",F55=""),"",C55*D55+E55+F55))</x:f>
      </x:c>
      <x:c r="H55" s="10"/>
      <x:c r="I55" s="10"/>
      <x:c r="J55" s="10"/>
      <x:c r="K55" s="10"/>
      <x:c r="L55" s="10"/>
    </x:row>
    <x:row r="56" ht="22" customHeight="1">
      <x:c r="A56" s="10"/>
      <x:c r="B56" s="10"/>
      <x:c r="C56" s="10"/>
      <x:c r="D56" s="15"/>
      <x:c r="E56" s="15"/>
      <x:c r="F56" s="15"/>
      <x:c r="G56" s="15" t="str">
        <x:f>IF(A56="","",IF(OR(C56="",D56="",E56="",F56=""),"",C56*D56+E56+F56))</x:f>
      </x:c>
      <x:c r="H56" s="10"/>
      <x:c r="I56" s="10"/>
      <x:c r="J56" s="10"/>
      <x:c r="K56" s="10"/>
      <x:c r="L56" s="10"/>
    </x:row>
    <x:row r="57" ht="22" customHeight="1">
      <x:c r="A57" s="10"/>
      <x:c r="B57" s="10"/>
      <x:c r="C57" s="10"/>
      <x:c r="D57" s="15"/>
      <x:c r="E57" s="15"/>
      <x:c r="F57" s="15"/>
      <x:c r="G57" s="15" t="str">
        <x:f>IF(A57="","",IF(OR(C57="",D57="",E57="",F57=""),"",C57*D57+E57+F57))</x:f>
      </x:c>
      <x:c r="H57" s="10"/>
      <x:c r="I57" s="10"/>
      <x:c r="J57" s="10"/>
      <x:c r="K57" s="10"/>
      <x:c r="L57" s="10"/>
    </x:row>
  </x:sheetData>
  <x:dataValidations count="1">
    <x:dataValidation type="list" sqref="J8:J57">
      <x:formula1>"Yes,Partial,No,To confirm"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ca4337494b4518"/>
  </x:tableParts>
</x:worksheet>
</file>